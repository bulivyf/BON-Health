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chart2.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d9c2e0d9c62c0405/Desktop/"/>
    </mc:Choice>
  </mc:AlternateContent>
  <xr:revisionPtr revIDLastSave="197" documentId="11_DD97093A62493B3FF0826B02A74493F921A27BB7" xr6:coauthVersionLast="47" xr6:coauthVersionMax="47" xr10:uidLastSave="{BD459258-1062-4862-9E27-2D1C63739C52}"/>
  <bookViews>
    <workbookView xWindow="66945" yWindow="0" windowWidth="36360" windowHeight="20985" activeTab="4" xr2:uid="{00000000-000D-0000-FFFF-FFFF00000000}"/>
    <workbookView xWindow="51705" yWindow="465" windowWidth="20280" windowHeight="16845" activeTab="1" xr2:uid="{B9CFE4AA-E108-4461-A429-70B15E040151}"/>
  </bookViews>
  <sheets>
    <sheet name="ReadMe" sheetId="1" r:id="rId1"/>
    <sheet name="Inputs" sheetId="2" r:id="rId2"/>
    <sheet name="Events" sheetId="3" r:id="rId3"/>
    <sheet name="Simulation" sheetId="4" r:id="rId4"/>
    <sheet name="Dashboard"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 i="4" l="1"/>
  <c r="M12" i="4"/>
  <c r="M11" i="4"/>
  <c r="M10" i="4"/>
  <c r="M9" i="4"/>
  <c r="M8" i="4"/>
  <c r="M7" i="4"/>
  <c r="M6" i="4"/>
  <c r="D66" i="5"/>
  <c r="C66" i="5"/>
  <c r="D65" i="5"/>
  <c r="C65" i="5"/>
  <c r="D64" i="5"/>
  <c r="C64" i="5"/>
  <c r="D63" i="5"/>
  <c r="C63" i="5"/>
  <c r="D62" i="5"/>
  <c r="C62" i="5"/>
  <c r="D61" i="5"/>
  <c r="C61" i="5"/>
  <c r="D60" i="5"/>
  <c r="C60" i="5"/>
  <c r="D59" i="5"/>
  <c r="C59" i="5"/>
  <c r="D58" i="5"/>
  <c r="C58" i="5"/>
  <c r="D57" i="5"/>
  <c r="C57" i="5"/>
  <c r="D56" i="5"/>
  <c r="C56" i="5"/>
  <c r="D55" i="5"/>
  <c r="C55" i="5"/>
  <c r="D54" i="5"/>
  <c r="C54" i="5"/>
  <c r="D53" i="5"/>
  <c r="C53" i="5"/>
  <c r="D52" i="5"/>
  <c r="C52" i="5"/>
  <c r="D51" i="5"/>
  <c r="C51" i="5"/>
  <c r="D50" i="5"/>
  <c r="C50" i="5"/>
  <c r="D49" i="5"/>
  <c r="C49" i="5"/>
  <c r="D48" i="5"/>
  <c r="C48" i="5"/>
  <c r="D47" i="5"/>
  <c r="C47" i="5"/>
  <c r="D46" i="5"/>
  <c r="C46" i="5"/>
  <c r="D45" i="5"/>
  <c r="C45" i="5"/>
  <c r="D44" i="5"/>
  <c r="C44" i="5"/>
  <c r="D43" i="5"/>
  <c r="C43" i="5"/>
  <c r="D42" i="5"/>
  <c r="C42" i="5"/>
  <c r="D41" i="5"/>
  <c r="C41" i="5"/>
  <c r="D40" i="5"/>
  <c r="C40" i="5"/>
  <c r="D39" i="5"/>
  <c r="C39" i="5"/>
  <c r="D38" i="5"/>
  <c r="C38" i="5"/>
  <c r="D37" i="5"/>
  <c r="C37" i="5"/>
  <c r="D36" i="5"/>
  <c r="C36" i="5"/>
  <c r="D35" i="5"/>
  <c r="C35" i="5"/>
  <c r="D34" i="5"/>
  <c r="C34" i="5"/>
  <c r="D33" i="5"/>
  <c r="C33" i="5"/>
  <c r="D32" i="5"/>
  <c r="C32" i="5"/>
  <c r="D31" i="5"/>
  <c r="C31" i="5"/>
  <c r="D30" i="5"/>
  <c r="C30" i="5"/>
  <c r="D29" i="5"/>
  <c r="C29" i="5"/>
  <c r="D28" i="5"/>
  <c r="C28" i="5"/>
  <c r="D27" i="5"/>
  <c r="C27" i="5"/>
  <c r="D26" i="5"/>
  <c r="C26" i="5"/>
  <c r="D25" i="5"/>
  <c r="C25" i="5"/>
  <c r="D24" i="5"/>
  <c r="C24" i="5"/>
  <c r="D23" i="5"/>
  <c r="C23" i="5"/>
  <c r="D22" i="5"/>
  <c r="C22" i="5"/>
  <c r="D21" i="5"/>
  <c r="C21" i="5"/>
  <c r="D20" i="5"/>
  <c r="C20" i="5"/>
  <c r="D19" i="5"/>
  <c r="C19" i="5"/>
  <c r="D18" i="5"/>
  <c r="C18" i="5"/>
  <c r="D17" i="5"/>
  <c r="C17" i="5"/>
  <c r="D16" i="5"/>
  <c r="C16" i="5"/>
  <c r="D15" i="5"/>
  <c r="C15" i="5"/>
  <c r="D14" i="5"/>
  <c r="C14" i="5"/>
  <c r="D13" i="5"/>
  <c r="C13" i="5"/>
  <c r="D12" i="5"/>
  <c r="C12" i="5"/>
  <c r="D11" i="5"/>
  <c r="C11" i="5"/>
  <c r="D10" i="5"/>
  <c r="C10" i="5"/>
  <c r="D9" i="5"/>
  <c r="C9" i="5"/>
  <c r="D8" i="5"/>
  <c r="C8" i="5"/>
  <c r="J7" i="5"/>
  <c r="I7" i="5"/>
  <c r="H7" i="5"/>
  <c r="G7" i="5"/>
  <c r="F7" i="5"/>
  <c r="D7" i="5"/>
  <c r="C7" i="5"/>
  <c r="B64" i="4"/>
  <c r="C64" i="4" s="1"/>
  <c r="B63" i="4"/>
  <c r="C63" i="4" s="1"/>
  <c r="B62" i="4"/>
  <c r="C62" i="4" s="1"/>
  <c r="B61" i="4"/>
  <c r="C61" i="4" s="1"/>
  <c r="B60" i="4"/>
  <c r="C60" i="4" s="1"/>
  <c r="B59" i="4"/>
  <c r="C59" i="4" s="1"/>
  <c r="B58" i="4"/>
  <c r="C58" i="4" s="1"/>
  <c r="B57" i="4"/>
  <c r="C57" i="4" s="1"/>
  <c r="B56" i="4"/>
  <c r="C56" i="4" s="1"/>
  <c r="B55" i="4"/>
  <c r="C55" i="4" s="1"/>
  <c r="B54" i="4"/>
  <c r="C54" i="4" s="1"/>
  <c r="B53" i="4"/>
  <c r="C53" i="4" s="1"/>
  <c r="B52" i="4"/>
  <c r="C52" i="4" s="1"/>
  <c r="B51" i="4"/>
  <c r="C51" i="4" s="1"/>
  <c r="B50" i="4"/>
  <c r="C50" i="4" s="1"/>
  <c r="B49" i="4"/>
  <c r="C49" i="4" s="1"/>
  <c r="B48" i="4"/>
  <c r="C48" i="4" s="1"/>
  <c r="B47" i="4"/>
  <c r="C47" i="4" s="1"/>
  <c r="B46" i="4"/>
  <c r="C46" i="4" s="1"/>
  <c r="B45" i="4"/>
  <c r="C45" i="4" s="1"/>
  <c r="B44" i="4"/>
  <c r="C44" i="4" s="1"/>
  <c r="B43" i="4"/>
  <c r="C43" i="4" s="1"/>
  <c r="B42" i="4"/>
  <c r="C42" i="4" s="1"/>
  <c r="B41" i="4"/>
  <c r="C41" i="4" s="1"/>
  <c r="B40" i="4"/>
  <c r="C40" i="4" s="1"/>
  <c r="B39" i="4"/>
  <c r="C39" i="4" s="1"/>
  <c r="B38" i="4"/>
  <c r="C38" i="4" s="1"/>
  <c r="B37" i="4"/>
  <c r="C37" i="4" s="1"/>
  <c r="B36" i="4"/>
  <c r="C36" i="4" s="1"/>
  <c r="B35" i="4"/>
  <c r="C35" i="4" s="1"/>
  <c r="B34" i="4"/>
  <c r="C34" i="4" s="1"/>
  <c r="B33" i="4"/>
  <c r="C33" i="4" s="1"/>
  <c r="B32" i="4"/>
  <c r="C32" i="4" s="1"/>
  <c r="B31" i="4"/>
  <c r="C31" i="4" s="1"/>
  <c r="B30" i="4"/>
  <c r="C30" i="4" s="1"/>
  <c r="B29" i="4"/>
  <c r="C29" i="4" s="1"/>
  <c r="B28" i="4"/>
  <c r="C28" i="4" s="1"/>
  <c r="B27" i="4"/>
  <c r="C27" i="4" s="1"/>
  <c r="B26" i="4"/>
  <c r="C26" i="4" s="1"/>
  <c r="B25" i="4"/>
  <c r="C25" i="4" s="1"/>
  <c r="B24" i="4"/>
  <c r="C24" i="4" s="1"/>
  <c r="B23" i="4"/>
  <c r="C23" i="4" s="1"/>
  <c r="B22" i="4"/>
  <c r="C22" i="4" s="1"/>
  <c r="B21" i="4"/>
  <c r="C21" i="4" s="1"/>
  <c r="B20" i="4"/>
  <c r="C20" i="4" s="1"/>
  <c r="B19" i="4"/>
  <c r="C19" i="4" s="1"/>
  <c r="B18" i="4"/>
  <c r="C18" i="4" s="1"/>
  <c r="B17" i="4"/>
  <c r="C17" i="4" s="1"/>
  <c r="B16" i="4"/>
  <c r="C16" i="4" s="1"/>
  <c r="B15" i="4"/>
  <c r="C15" i="4" s="1"/>
  <c r="B14" i="4"/>
  <c r="C14" i="4" s="1"/>
  <c r="B13" i="4"/>
  <c r="C13" i="4" s="1"/>
  <c r="B12" i="4"/>
  <c r="C12" i="4" s="1"/>
  <c r="B11" i="4"/>
  <c r="C11" i="4" s="1"/>
  <c r="B10" i="4"/>
  <c r="C10" i="4" s="1"/>
  <c r="B9" i="4"/>
  <c r="C9" i="4" s="1"/>
  <c r="B8" i="4"/>
  <c r="C8" i="4" s="1"/>
  <c r="B7" i="4"/>
  <c r="C7" i="4" s="1"/>
  <c r="B6" i="4"/>
  <c r="C6" i="4" s="1"/>
  <c r="E6" i="4" s="1"/>
  <c r="D6" i="4" s="1"/>
  <c r="M5" i="4"/>
  <c r="D5" i="4"/>
  <c r="B5" i="4"/>
  <c r="C5" i="4" s="1"/>
  <c r="L5" i="4" s="1"/>
  <c r="G21" i="2"/>
  <c r="E7" i="4" l="1"/>
  <c r="D7" i="4" s="1"/>
  <c r="E8" i="4" s="1"/>
  <c r="B7" i="5"/>
  <c r="F6" i="4"/>
  <c r="H6" i="4" s="1"/>
  <c r="E5" i="4"/>
  <c r="G6" i="4" l="1"/>
  <c r="F8" i="5" s="1"/>
  <c r="G8" i="5"/>
  <c r="D8" i="4"/>
  <c r="K6" i="4"/>
  <c r="J6" i="4"/>
  <c r="I6" i="4"/>
  <c r="L6" i="4" l="1"/>
  <c r="F7" i="4" s="1"/>
  <c r="H7" i="4" s="1"/>
  <c r="G9" i="5" s="1"/>
  <c r="E9" i="4"/>
  <c r="D9" i="4" s="1"/>
  <c r="H8" i="5"/>
  <c r="B8" i="5"/>
  <c r="J8" i="5"/>
  <c r="K7" i="4"/>
  <c r="I8" i="5"/>
  <c r="J7" i="4"/>
  <c r="G7" i="4" l="1"/>
  <c r="I7" i="4"/>
  <c r="L7" i="4" s="1"/>
  <c r="E10" i="4"/>
  <c r="D10" i="4" s="1"/>
  <c r="I9" i="5"/>
  <c r="F9" i="5"/>
  <c r="J9" i="5"/>
  <c r="H9" i="5" l="1"/>
  <c r="E11" i="4"/>
  <c r="D11" i="4" s="1"/>
  <c r="F8" i="4"/>
  <c r="B9" i="5"/>
  <c r="E12" i="4" l="1"/>
  <c r="D12" i="4" s="1"/>
  <c r="H8" i="4"/>
  <c r="K8" i="4"/>
  <c r="J8" i="4"/>
  <c r="G8" i="4"/>
  <c r="I8" i="4"/>
  <c r="E13" i="4" l="1"/>
  <c r="D13" i="4" s="1"/>
  <c r="H10" i="5"/>
  <c r="G10" i="5"/>
  <c r="F10" i="5"/>
  <c r="L8" i="4"/>
  <c r="I10" i="5"/>
  <c r="J10" i="5"/>
  <c r="E14" i="4" l="1"/>
  <c r="D14" i="4" s="1"/>
  <c r="F9" i="4"/>
  <c r="B10" i="5"/>
  <c r="E15" i="4" l="1"/>
  <c r="D15" i="4" s="1"/>
  <c r="G9" i="4"/>
  <c r="J9" i="4"/>
  <c r="K9" i="4"/>
  <c r="I9" i="4"/>
  <c r="H9" i="4"/>
  <c r="E16" i="4" l="1"/>
  <c r="D16" i="4" s="1"/>
  <c r="I11" i="5"/>
  <c r="J11" i="5"/>
  <c r="G11" i="5"/>
  <c r="H11" i="5"/>
  <c r="F11" i="5"/>
  <c r="L9" i="4"/>
  <c r="E17" i="4" l="1"/>
  <c r="D17" i="4" s="1"/>
  <c r="F10" i="4"/>
  <c r="B11" i="5"/>
  <c r="E18" i="4" l="1"/>
  <c r="D18" i="4" s="1"/>
  <c r="I10" i="4"/>
  <c r="J10" i="4"/>
  <c r="K10" i="4"/>
  <c r="G10" i="4"/>
  <c r="H10" i="4"/>
  <c r="E19" i="4" l="1"/>
  <c r="D19" i="4" s="1"/>
  <c r="F12" i="5"/>
  <c r="L10" i="4"/>
  <c r="I12" i="5"/>
  <c r="G12" i="5"/>
  <c r="J12" i="5"/>
  <c r="H12" i="5"/>
  <c r="E20" i="4" l="1"/>
  <c r="D20" i="4" s="1"/>
  <c r="F11" i="4"/>
  <c r="B12" i="5"/>
  <c r="E21" i="4" l="1"/>
  <c r="D21" i="4" s="1"/>
  <c r="G11" i="4"/>
  <c r="J11" i="4"/>
  <c r="K11" i="4"/>
  <c r="I11" i="4"/>
  <c r="H11" i="4"/>
  <c r="E22" i="4" l="1"/>
  <c r="D22" i="4" s="1"/>
  <c r="G13" i="5"/>
  <c r="F13" i="5"/>
  <c r="L11" i="4"/>
  <c r="H13" i="5"/>
  <c r="J13" i="5"/>
  <c r="I13" i="5"/>
  <c r="E23" i="4" l="1"/>
  <c r="D23" i="4" s="1"/>
  <c r="F12" i="4"/>
  <c r="B13" i="5"/>
  <c r="E24" i="4" l="1"/>
  <c r="D24" i="4" s="1"/>
  <c r="H12" i="4"/>
  <c r="G12" i="4"/>
  <c r="J12" i="4"/>
  <c r="K12" i="4"/>
  <c r="I12" i="4"/>
  <c r="E25" i="4" l="1"/>
  <c r="D25" i="4" s="1"/>
  <c r="J14" i="5"/>
  <c r="F14" i="5"/>
  <c r="L12" i="4"/>
  <c r="H14" i="5"/>
  <c r="I14" i="5"/>
  <c r="G14" i="5"/>
  <c r="E26" i="4" l="1"/>
  <c r="D26" i="4" s="1"/>
  <c r="F13" i="4"/>
  <c r="B14" i="5"/>
  <c r="E27" i="4" l="1"/>
  <c r="D27" i="4" s="1"/>
  <c r="K13" i="4"/>
  <c r="G13" i="4"/>
  <c r="I13" i="4"/>
  <c r="J13" i="4"/>
  <c r="H13" i="4"/>
  <c r="G15" i="5" l="1"/>
  <c r="H15" i="5"/>
  <c r="E28" i="4"/>
  <c r="D28" i="4" s="1"/>
  <c r="I15" i="5"/>
  <c r="F15" i="5"/>
  <c r="L13" i="4"/>
  <c r="J15" i="5"/>
  <c r="E29" i="4" l="1"/>
  <c r="D29" i="4" s="1"/>
  <c r="F14" i="4"/>
  <c r="B15" i="5"/>
  <c r="E30" i="4" l="1"/>
  <c r="D30" i="4" s="1"/>
  <c r="H14" i="4"/>
  <c r="J14" i="4"/>
  <c r="G14" i="4"/>
  <c r="I14" i="4"/>
  <c r="K14" i="4"/>
  <c r="E31" i="4" l="1"/>
  <c r="D31" i="4" s="1"/>
  <c r="J16" i="5"/>
  <c r="H16" i="5"/>
  <c r="G16" i="5"/>
  <c r="F16" i="5"/>
  <c r="L14" i="4"/>
  <c r="I16" i="5"/>
  <c r="E32" i="4" l="1"/>
  <c r="D32" i="4" s="1"/>
  <c r="F15" i="4"/>
  <c r="B16" i="5"/>
  <c r="M14" i="4"/>
  <c r="E33" i="4" l="1"/>
  <c r="D33" i="4" s="1"/>
  <c r="K15" i="4"/>
  <c r="I15" i="4"/>
  <c r="G15" i="4"/>
  <c r="H15" i="4"/>
  <c r="J15" i="4"/>
  <c r="G17" i="5" l="1"/>
  <c r="H17" i="5"/>
  <c r="I17" i="5"/>
  <c r="F17" i="5"/>
  <c r="L15" i="4"/>
  <c r="J17" i="5"/>
  <c r="E34" i="4"/>
  <c r="D34" i="4" s="1"/>
  <c r="E35" i="4" l="1"/>
  <c r="D35" i="4" s="1"/>
  <c r="F16" i="4"/>
  <c r="B17" i="5"/>
  <c r="M15" i="4"/>
  <c r="E36" i="4" l="1"/>
  <c r="D36" i="4" s="1"/>
  <c r="H16" i="4"/>
  <c r="J16" i="4"/>
  <c r="G16" i="4"/>
  <c r="I16" i="4"/>
  <c r="K16" i="4"/>
  <c r="H18" i="5" l="1"/>
  <c r="I18" i="5"/>
  <c r="J18" i="5"/>
  <c r="F18" i="5"/>
  <c r="L16" i="4"/>
  <c r="G18" i="5"/>
  <c r="E37" i="4"/>
  <c r="D37" i="4" s="1"/>
  <c r="E38" i="4" l="1"/>
  <c r="D38" i="4" s="1"/>
  <c r="F17" i="4"/>
  <c r="B18" i="5"/>
  <c r="M16" i="4"/>
  <c r="E39" i="4" l="1"/>
  <c r="D39" i="4" s="1"/>
  <c r="I17" i="4"/>
  <c r="J17" i="4"/>
  <c r="K17" i="4"/>
  <c r="G17" i="4"/>
  <c r="H17" i="4"/>
  <c r="E40" i="4" l="1"/>
  <c r="D40" i="4" s="1"/>
  <c r="F19" i="5"/>
  <c r="L17" i="4"/>
  <c r="J19" i="5"/>
  <c r="G19" i="5"/>
  <c r="I19" i="5"/>
  <c r="H19" i="5"/>
  <c r="E41" i="4" l="1"/>
  <c r="D41" i="4" s="1"/>
  <c r="F18" i="4"/>
  <c r="B19" i="5"/>
  <c r="M17" i="4"/>
  <c r="E42" i="4" l="1"/>
  <c r="D42" i="4" s="1"/>
  <c r="K18" i="4"/>
  <c r="H18" i="4"/>
  <c r="I18" i="4"/>
  <c r="G18" i="4"/>
  <c r="J18" i="4"/>
  <c r="E43" i="4" l="1"/>
  <c r="D43" i="4" s="1"/>
  <c r="I20" i="5"/>
  <c r="G20" i="5"/>
  <c r="F20" i="5"/>
  <c r="L18" i="4"/>
  <c r="H20" i="5"/>
  <c r="J20" i="5"/>
  <c r="F19" i="4" l="1"/>
  <c r="B20" i="5"/>
  <c r="M18" i="4"/>
  <c r="E44" i="4"/>
  <c r="D44" i="4" s="1"/>
  <c r="E45" i="4" l="1"/>
  <c r="D45" i="4" s="1"/>
  <c r="H19" i="4"/>
  <c r="J19" i="4"/>
  <c r="G19" i="4"/>
  <c r="K19" i="4"/>
  <c r="I19" i="4"/>
  <c r="E46" i="4" l="1"/>
  <c r="D46" i="4" s="1"/>
  <c r="F21" i="5"/>
  <c r="L19" i="4"/>
  <c r="J21" i="5"/>
  <c r="G21" i="5"/>
  <c r="H21" i="5"/>
  <c r="I21" i="5"/>
  <c r="E47" i="4" l="1"/>
  <c r="D47" i="4" s="1"/>
  <c r="F20" i="4"/>
  <c r="B21" i="5"/>
  <c r="M19" i="4"/>
  <c r="E48" i="4" l="1"/>
  <c r="D48" i="4" s="1"/>
  <c r="G20" i="4"/>
  <c r="K20" i="4"/>
  <c r="H20" i="4"/>
  <c r="J20" i="4"/>
  <c r="I20" i="4"/>
  <c r="E49" i="4" l="1"/>
  <c r="D49" i="4" s="1"/>
  <c r="I22" i="5"/>
  <c r="F22" i="5"/>
  <c r="L20" i="4"/>
  <c r="H22" i="5"/>
  <c r="G22" i="5"/>
  <c r="J22" i="5"/>
  <c r="E50" i="4" l="1"/>
  <c r="D50" i="4" s="1"/>
  <c r="F21" i="4"/>
  <c r="B22" i="5"/>
  <c r="M20" i="4"/>
  <c r="E51" i="4" l="1"/>
  <c r="D51" i="4" s="1"/>
  <c r="G21" i="4"/>
  <c r="I21" i="4"/>
  <c r="K21" i="4"/>
  <c r="J21" i="4"/>
  <c r="H21" i="4"/>
  <c r="E52" i="4" l="1"/>
  <c r="D52" i="4" s="1"/>
  <c r="I23" i="5"/>
  <c r="F23" i="5"/>
  <c r="L21" i="4"/>
  <c r="G23" i="5"/>
  <c r="J23" i="5"/>
  <c r="H23" i="5"/>
  <c r="E53" i="4" l="1"/>
  <c r="D53" i="4" s="1"/>
  <c r="F22" i="4"/>
  <c r="B23" i="5"/>
  <c r="M21" i="4"/>
  <c r="J22" i="4" l="1"/>
  <c r="G22" i="4"/>
  <c r="H22" i="4"/>
  <c r="K22" i="4"/>
  <c r="I22" i="4"/>
  <c r="E54" i="4"/>
  <c r="D54" i="4" s="1"/>
  <c r="E55" i="4" l="1"/>
  <c r="D55" i="4" s="1"/>
  <c r="F24" i="5"/>
  <c r="L22" i="4"/>
  <c r="H24" i="5"/>
  <c r="J24" i="5"/>
  <c r="G24" i="5"/>
  <c r="I24" i="5"/>
  <c r="E56" i="4" l="1"/>
  <c r="D56" i="4" s="1"/>
  <c r="F23" i="4"/>
  <c r="B24" i="5"/>
  <c r="M22" i="4"/>
  <c r="E57" i="4" l="1"/>
  <c r="D57" i="4" s="1"/>
  <c r="G23" i="4"/>
  <c r="J23" i="4"/>
  <c r="I23" i="4"/>
  <c r="H23" i="4"/>
  <c r="K23" i="4"/>
  <c r="J25" i="5" l="1"/>
  <c r="H25" i="5"/>
  <c r="E58" i="4"/>
  <c r="D58" i="4" s="1"/>
  <c r="G25" i="5"/>
  <c r="I25" i="5"/>
  <c r="F25" i="5"/>
  <c r="L23" i="4"/>
  <c r="E59" i="4" l="1"/>
  <c r="D59" i="4" s="1"/>
  <c r="F24" i="4"/>
  <c r="B25" i="5"/>
  <c r="M23" i="4"/>
  <c r="E60" i="4" l="1"/>
  <c r="D60" i="4" s="1"/>
  <c r="K24" i="4"/>
  <c r="I24" i="4"/>
  <c r="H24" i="4"/>
  <c r="J24" i="4"/>
  <c r="G24" i="4"/>
  <c r="I26" i="5" l="1"/>
  <c r="G26" i="5"/>
  <c r="E61" i="4"/>
  <c r="D61" i="4" s="1"/>
  <c r="F26" i="5"/>
  <c r="L24" i="4"/>
  <c r="H26" i="5"/>
  <c r="J26" i="5"/>
  <c r="E62" i="4" l="1"/>
  <c r="D62" i="4" s="1"/>
  <c r="F25" i="4"/>
  <c r="B26" i="5"/>
  <c r="M24" i="4"/>
  <c r="E63" i="4" l="1"/>
  <c r="D63" i="4" s="1"/>
  <c r="J25" i="4"/>
  <c r="K25" i="4"/>
  <c r="H25" i="4"/>
  <c r="G25" i="4"/>
  <c r="I25" i="4"/>
  <c r="H27" i="5" l="1"/>
  <c r="J27" i="5"/>
  <c r="E64" i="4"/>
  <c r="D64" i="4" s="1"/>
  <c r="F27" i="5"/>
  <c r="L25" i="4"/>
  <c r="G27" i="5"/>
  <c r="I27" i="5"/>
  <c r="F26" i="4" l="1"/>
  <c r="B27" i="5"/>
  <c r="M25" i="4"/>
  <c r="I26" i="4" l="1"/>
  <c r="J26" i="4"/>
  <c r="K26" i="4"/>
  <c r="G26" i="4"/>
  <c r="H26" i="4"/>
  <c r="F28" i="5" l="1"/>
  <c r="L26" i="4"/>
  <c r="H28" i="5"/>
  <c r="G28" i="5"/>
  <c r="J28" i="5"/>
  <c r="I28" i="5"/>
  <c r="F27" i="4" l="1"/>
  <c r="B28" i="5"/>
  <c r="M26" i="4"/>
  <c r="G27" i="4" l="1"/>
  <c r="I27" i="4"/>
  <c r="H27" i="4"/>
  <c r="K27" i="4"/>
  <c r="J27" i="4"/>
  <c r="I29" i="5" l="1"/>
  <c r="H29" i="5"/>
  <c r="J29" i="5"/>
  <c r="G29" i="5"/>
  <c r="F29" i="5"/>
  <c r="L27" i="4"/>
  <c r="F28" i="4" l="1"/>
  <c r="B29" i="5"/>
  <c r="M27" i="4"/>
  <c r="J28" i="4" l="1"/>
  <c r="I28" i="4"/>
  <c r="K28" i="4"/>
  <c r="H28" i="4"/>
  <c r="G28" i="4"/>
  <c r="F30" i="5" l="1"/>
  <c r="L28" i="4"/>
  <c r="J30" i="5"/>
  <c r="H30" i="5"/>
  <c r="G30" i="5"/>
  <c r="I30" i="5"/>
  <c r="F29" i="4" l="1"/>
  <c r="B30" i="5"/>
  <c r="M28" i="4"/>
  <c r="G29" i="4" l="1"/>
  <c r="K29" i="4"/>
  <c r="I29" i="4"/>
  <c r="H29" i="4"/>
  <c r="J29" i="4"/>
  <c r="I31" i="5" l="1"/>
  <c r="J31" i="5"/>
  <c r="G31" i="5"/>
  <c r="H31" i="5"/>
  <c r="F31" i="5"/>
  <c r="L29" i="4"/>
  <c r="F30" i="4" l="1"/>
  <c r="B31" i="5"/>
  <c r="M29" i="4"/>
  <c r="J30" i="4" l="1"/>
  <c r="H30" i="4"/>
  <c r="I30" i="4"/>
  <c r="G30" i="4"/>
  <c r="K30" i="4"/>
  <c r="F32" i="5" l="1"/>
  <c r="L30" i="4"/>
  <c r="G32" i="5"/>
  <c r="J32" i="5"/>
  <c r="H32" i="5"/>
  <c r="I32" i="5"/>
  <c r="F31" i="4" l="1"/>
  <c r="B32" i="5"/>
  <c r="M30" i="4"/>
  <c r="G31" i="4" l="1"/>
  <c r="H31" i="4"/>
  <c r="K31" i="4"/>
  <c r="I31" i="4"/>
  <c r="J31" i="4"/>
  <c r="I33" i="5" l="1"/>
  <c r="G33" i="5"/>
  <c r="H33" i="5"/>
  <c r="J33" i="5"/>
  <c r="F33" i="5"/>
  <c r="L31" i="4"/>
  <c r="F32" i="4" l="1"/>
  <c r="B33" i="5"/>
  <c r="M31" i="4"/>
  <c r="J32" i="4" l="1"/>
  <c r="G32" i="4"/>
  <c r="H32" i="4"/>
  <c r="I32" i="4"/>
  <c r="K32" i="4"/>
  <c r="J34" i="5" l="1"/>
  <c r="F34" i="5"/>
  <c r="L32" i="4"/>
  <c r="H34" i="5"/>
  <c r="G34" i="5"/>
  <c r="I34" i="5"/>
  <c r="F33" i="4" l="1"/>
  <c r="B34" i="5"/>
  <c r="M32" i="4"/>
  <c r="K33" i="4" l="1"/>
  <c r="I33" i="4"/>
  <c r="H33" i="4"/>
  <c r="J33" i="4"/>
  <c r="G33" i="4"/>
  <c r="F35" i="5" l="1"/>
  <c r="L33" i="4"/>
  <c r="H35" i="5"/>
  <c r="I35" i="5"/>
  <c r="G35" i="5"/>
  <c r="J35" i="5"/>
  <c r="F34" i="4" l="1"/>
  <c r="B35" i="5"/>
  <c r="M33" i="4"/>
  <c r="G34" i="4" l="1"/>
  <c r="I34" i="4"/>
  <c r="J34" i="4"/>
  <c r="H34" i="4"/>
  <c r="K34" i="4"/>
  <c r="J36" i="5" l="1"/>
  <c r="H36" i="5"/>
  <c r="G36" i="5"/>
  <c r="I36" i="5"/>
  <c r="F36" i="5"/>
  <c r="L34" i="4"/>
  <c r="F35" i="4" l="1"/>
  <c r="B36" i="5"/>
  <c r="M34" i="4"/>
  <c r="K35" i="4" l="1"/>
  <c r="H35" i="4"/>
  <c r="J35" i="4"/>
  <c r="I35" i="4"/>
  <c r="G35" i="4"/>
  <c r="H37" i="5" l="1"/>
  <c r="G37" i="5"/>
  <c r="F37" i="5"/>
  <c r="L35" i="4"/>
  <c r="I37" i="5"/>
  <c r="J37" i="5"/>
  <c r="F36" i="4" l="1"/>
  <c r="B37" i="5"/>
  <c r="M35" i="4"/>
  <c r="I36" i="4" l="1"/>
  <c r="G36" i="4"/>
  <c r="H36" i="4"/>
  <c r="J36" i="4"/>
  <c r="K36" i="4"/>
  <c r="J38" i="5" l="1"/>
  <c r="F38" i="5"/>
  <c r="L36" i="4"/>
  <c r="I38" i="5"/>
  <c r="G38" i="5"/>
  <c r="H38" i="5"/>
  <c r="F37" i="4" l="1"/>
  <c r="B38" i="5"/>
  <c r="M36" i="4"/>
  <c r="K37" i="4" l="1"/>
  <c r="G37" i="4"/>
  <c r="I37" i="4"/>
  <c r="J37" i="4"/>
  <c r="H37" i="4"/>
  <c r="G39" i="5" l="1"/>
  <c r="F39" i="5"/>
  <c r="L37" i="4"/>
  <c r="I39" i="5"/>
  <c r="H39" i="5"/>
  <c r="J39" i="5"/>
  <c r="F38" i="4" l="1"/>
  <c r="B39" i="5"/>
  <c r="M37" i="4"/>
  <c r="H38" i="4" l="1"/>
  <c r="K38" i="4"/>
  <c r="G38" i="4"/>
  <c r="J38" i="4"/>
  <c r="I38" i="4"/>
  <c r="H40" i="5" l="1"/>
  <c r="J40" i="5"/>
  <c r="I40" i="5"/>
  <c r="F40" i="5"/>
  <c r="L38" i="4"/>
  <c r="G40" i="5"/>
  <c r="F39" i="4" l="1"/>
  <c r="B40" i="5"/>
  <c r="M38" i="4"/>
  <c r="I39" i="4" l="1"/>
  <c r="J39" i="4"/>
  <c r="G39" i="4"/>
  <c r="H39" i="4"/>
  <c r="K39" i="4"/>
  <c r="G41" i="5" l="1"/>
  <c r="I41" i="5"/>
  <c r="J41" i="5"/>
  <c r="F41" i="5"/>
  <c r="L39" i="4"/>
  <c r="H41" i="5"/>
  <c r="F40" i="4" l="1"/>
  <c r="B41" i="5"/>
  <c r="M39" i="4"/>
  <c r="H40" i="4" l="1"/>
  <c r="K40" i="4"/>
  <c r="G40" i="4"/>
  <c r="J40" i="4"/>
  <c r="I40" i="4"/>
  <c r="H42" i="5" l="1"/>
  <c r="J42" i="5"/>
  <c r="I42" i="5"/>
  <c r="F42" i="5"/>
  <c r="L40" i="4"/>
  <c r="G42" i="5"/>
  <c r="F41" i="4" l="1"/>
  <c r="B42" i="5"/>
  <c r="M40" i="4"/>
  <c r="I41" i="4" l="1"/>
  <c r="J41" i="4"/>
  <c r="G41" i="4"/>
  <c r="K41" i="4"/>
  <c r="H41" i="4"/>
  <c r="G43" i="5" l="1"/>
  <c r="I43" i="5"/>
  <c r="J43" i="5"/>
  <c r="F43" i="5"/>
  <c r="L41" i="4"/>
  <c r="H43" i="5"/>
  <c r="F42" i="4" l="1"/>
  <c r="B43" i="5"/>
  <c r="M41" i="4"/>
  <c r="H42" i="4" l="1"/>
  <c r="K42" i="4"/>
  <c r="G42" i="4"/>
  <c r="I42" i="4"/>
  <c r="J42" i="4"/>
  <c r="I44" i="5" l="1"/>
  <c r="J44" i="5"/>
  <c r="H44" i="5"/>
  <c r="F44" i="5"/>
  <c r="L42" i="4"/>
  <c r="G44" i="5"/>
  <c r="F43" i="4" l="1"/>
  <c r="B44" i="5"/>
  <c r="M42" i="4"/>
  <c r="J43" i="4" l="1"/>
  <c r="I43" i="4"/>
  <c r="G43" i="4"/>
  <c r="K43" i="4"/>
  <c r="H43" i="4"/>
  <c r="G45" i="5" l="1"/>
  <c r="H45" i="5"/>
  <c r="J45" i="5"/>
  <c r="F45" i="5"/>
  <c r="L43" i="4"/>
  <c r="I45" i="5"/>
  <c r="F44" i="4" l="1"/>
  <c r="B45" i="5"/>
  <c r="M43" i="4"/>
  <c r="H44" i="4" l="1"/>
  <c r="K44" i="4"/>
  <c r="G44" i="4"/>
  <c r="J44" i="4"/>
  <c r="I44" i="4"/>
  <c r="H46" i="5" l="1"/>
  <c r="J46" i="5"/>
  <c r="I46" i="5"/>
  <c r="F46" i="5"/>
  <c r="L44" i="4"/>
  <c r="G46" i="5"/>
  <c r="F45" i="4" l="1"/>
  <c r="B46" i="5"/>
  <c r="M44" i="4"/>
  <c r="I45" i="4" l="1"/>
  <c r="J45" i="4"/>
  <c r="G45" i="4"/>
  <c r="H45" i="4"/>
  <c r="K45" i="4"/>
  <c r="J47" i="5" l="1"/>
  <c r="I47" i="5"/>
  <c r="G47" i="5"/>
  <c r="F47" i="5"/>
  <c r="L45" i="4"/>
  <c r="H47" i="5"/>
  <c r="F46" i="4" l="1"/>
  <c r="B47" i="5"/>
  <c r="M45" i="4"/>
  <c r="K46" i="4" l="1"/>
  <c r="H46" i="4"/>
  <c r="G46" i="4"/>
  <c r="J46" i="4"/>
  <c r="I46" i="4"/>
  <c r="I48" i="5" l="1"/>
  <c r="F48" i="5"/>
  <c r="L46" i="4"/>
  <c r="H48" i="5"/>
  <c r="G48" i="5"/>
  <c r="J48" i="5"/>
  <c r="F47" i="4" l="1"/>
  <c r="B48" i="5"/>
  <c r="M46" i="4"/>
  <c r="J47" i="4" l="1"/>
  <c r="G47" i="4"/>
  <c r="I47" i="4"/>
  <c r="H47" i="4"/>
  <c r="K47" i="4"/>
  <c r="G49" i="5" l="1"/>
  <c r="F49" i="5"/>
  <c r="L47" i="4"/>
  <c r="J49" i="5"/>
  <c r="H49" i="5"/>
  <c r="I49" i="5"/>
  <c r="F48" i="4" l="1"/>
  <c r="B49" i="5"/>
  <c r="M47" i="4"/>
  <c r="H48" i="4" l="1"/>
  <c r="K48" i="4"/>
  <c r="I48" i="4"/>
  <c r="J48" i="4"/>
  <c r="G48" i="4"/>
  <c r="F50" i="5" l="1"/>
  <c r="L48" i="4"/>
  <c r="J50" i="5"/>
  <c r="I50" i="5"/>
  <c r="H50" i="5"/>
  <c r="G50" i="5"/>
  <c r="F49" i="4" l="1"/>
  <c r="B50" i="5"/>
  <c r="M48" i="4"/>
  <c r="G49" i="4" l="1"/>
  <c r="H49" i="4"/>
  <c r="K49" i="4"/>
  <c r="J49" i="4"/>
  <c r="I49" i="4"/>
  <c r="H51" i="5" l="1"/>
  <c r="G51" i="5"/>
  <c r="I51" i="5"/>
  <c r="J51" i="5"/>
  <c r="F51" i="5"/>
  <c r="L49" i="4"/>
  <c r="F50" i="4" l="1"/>
  <c r="B51" i="5"/>
  <c r="M49" i="4"/>
  <c r="I50" i="4" l="1"/>
  <c r="H50" i="4"/>
  <c r="K50" i="4"/>
  <c r="J50" i="4"/>
  <c r="G50" i="4"/>
  <c r="J52" i="5" l="1"/>
  <c r="I52" i="5"/>
  <c r="G52" i="5"/>
  <c r="F52" i="5"/>
  <c r="L50" i="4"/>
  <c r="H52" i="5"/>
  <c r="F51" i="4" l="1"/>
  <c r="B52" i="5"/>
  <c r="M50" i="4"/>
  <c r="K51" i="4" l="1"/>
  <c r="J51" i="4"/>
  <c r="G51" i="4"/>
  <c r="H51" i="4"/>
  <c r="I51" i="4"/>
  <c r="H53" i="5" l="1"/>
  <c r="G53" i="5"/>
  <c r="I53" i="5"/>
  <c r="F53" i="5"/>
  <c r="L51" i="4"/>
  <c r="J53" i="5"/>
  <c r="F52" i="4" l="1"/>
  <c r="B53" i="5"/>
  <c r="M51" i="4"/>
  <c r="I52" i="4" l="1"/>
  <c r="J52" i="4"/>
  <c r="G52" i="4"/>
  <c r="H52" i="4"/>
  <c r="K52" i="4"/>
  <c r="G54" i="5" l="1"/>
  <c r="I54" i="5"/>
  <c r="J54" i="5"/>
  <c r="F54" i="5"/>
  <c r="L52" i="4"/>
  <c r="H54" i="5"/>
  <c r="F53" i="4" l="1"/>
  <c r="B54" i="5"/>
  <c r="M52" i="4"/>
  <c r="H53" i="4" l="1"/>
  <c r="K53" i="4"/>
  <c r="G53" i="4"/>
  <c r="J53" i="4"/>
  <c r="I53" i="4"/>
  <c r="H55" i="5" l="1"/>
  <c r="J55" i="5"/>
  <c r="I55" i="5"/>
  <c r="F55" i="5"/>
  <c r="L53" i="4"/>
  <c r="G55" i="5"/>
  <c r="F54" i="4" l="1"/>
  <c r="B55" i="5"/>
  <c r="M53" i="4"/>
  <c r="I54" i="4" l="1"/>
  <c r="J54" i="4"/>
  <c r="K54" i="4"/>
  <c r="G54" i="4"/>
  <c r="H54" i="4"/>
  <c r="F56" i="5" l="1"/>
  <c r="L54" i="4"/>
  <c r="I56" i="5"/>
  <c r="G56" i="5"/>
  <c r="J56" i="5"/>
  <c r="H56" i="5"/>
  <c r="F55" i="4" l="1"/>
  <c r="B56" i="5"/>
  <c r="M54" i="4"/>
  <c r="G55" i="4" l="1"/>
  <c r="H55" i="4"/>
  <c r="K55" i="4"/>
  <c r="I55" i="4"/>
  <c r="J55" i="4"/>
  <c r="J57" i="5" l="1"/>
  <c r="G57" i="5"/>
  <c r="I57" i="5"/>
  <c r="H57" i="5"/>
  <c r="F57" i="5"/>
  <c r="L55" i="4"/>
  <c r="F56" i="4" l="1"/>
  <c r="B57" i="5"/>
  <c r="M55" i="4"/>
  <c r="K56" i="4" l="1"/>
  <c r="H56" i="4"/>
  <c r="G56" i="4"/>
  <c r="J56" i="4"/>
  <c r="I56" i="4"/>
  <c r="F58" i="5" l="1"/>
  <c r="L56" i="4"/>
  <c r="H58" i="5"/>
  <c r="G58" i="5"/>
  <c r="I58" i="5"/>
  <c r="J58" i="5"/>
  <c r="F57" i="4" l="1"/>
  <c r="B58" i="5"/>
  <c r="M56" i="4"/>
  <c r="G57" i="4" l="1"/>
  <c r="H57" i="4"/>
  <c r="J57" i="4"/>
  <c r="K57" i="4"/>
  <c r="I57" i="4"/>
  <c r="J59" i="5" l="1"/>
  <c r="G59" i="5"/>
  <c r="H59" i="5"/>
  <c r="I59" i="5"/>
  <c r="F59" i="5"/>
  <c r="L57" i="4"/>
  <c r="F58" i="4" l="1"/>
  <c r="B59" i="5"/>
  <c r="M57" i="4"/>
  <c r="K58" i="4" l="1"/>
  <c r="H58" i="4"/>
  <c r="I58" i="4"/>
  <c r="J58" i="4"/>
  <c r="G58" i="4"/>
  <c r="H60" i="5" l="1"/>
  <c r="F60" i="5"/>
  <c r="L58" i="4"/>
  <c r="G60" i="5"/>
  <c r="I60" i="5"/>
  <c r="J60" i="5"/>
  <c r="F59" i="4" l="1"/>
  <c r="B60" i="5"/>
  <c r="M58" i="4"/>
  <c r="I59" i="4" l="1"/>
  <c r="K59" i="4"/>
  <c r="G59" i="4"/>
  <c r="H59" i="4"/>
  <c r="J59" i="4"/>
  <c r="G61" i="5" l="1"/>
  <c r="J61" i="5"/>
  <c r="I61" i="5"/>
  <c r="F61" i="5"/>
  <c r="L59" i="4"/>
  <c r="H61" i="5"/>
  <c r="F60" i="4" l="1"/>
  <c r="B61" i="5"/>
  <c r="M59" i="4"/>
  <c r="H60" i="4" l="1"/>
  <c r="J60" i="4"/>
  <c r="K60" i="4"/>
  <c r="G60" i="4"/>
  <c r="I60" i="4"/>
  <c r="J62" i="5" l="1"/>
  <c r="H62" i="5"/>
  <c r="I62" i="5"/>
  <c r="F62" i="5"/>
  <c r="L60" i="4"/>
  <c r="G62" i="5"/>
  <c r="F61" i="4" l="1"/>
  <c r="B62" i="5"/>
  <c r="M60" i="4"/>
  <c r="K61" i="4" l="1"/>
  <c r="J61" i="4"/>
  <c r="G61" i="4"/>
  <c r="H61" i="4"/>
  <c r="I61" i="4"/>
  <c r="G63" i="5" l="1"/>
  <c r="I63" i="5"/>
  <c r="H63" i="5"/>
  <c r="F63" i="5"/>
  <c r="L61" i="4"/>
  <c r="J63" i="5"/>
  <c r="F62" i="4" l="1"/>
  <c r="B63" i="5"/>
  <c r="M61" i="4"/>
  <c r="H62" i="4" l="1"/>
  <c r="J62" i="4"/>
  <c r="K62" i="4"/>
  <c r="G62" i="4"/>
  <c r="I62" i="4"/>
  <c r="F64" i="5" l="1"/>
  <c r="L62" i="4"/>
  <c r="I64" i="5"/>
  <c r="H64" i="5"/>
  <c r="J64" i="5"/>
  <c r="G64" i="5"/>
  <c r="F63" i="4" l="1"/>
  <c r="B64" i="5"/>
  <c r="M62" i="4"/>
  <c r="G63" i="4" l="1"/>
  <c r="J63" i="4"/>
  <c r="I63" i="4"/>
  <c r="K63" i="4"/>
  <c r="H63" i="4"/>
  <c r="H65" i="5" l="1"/>
  <c r="G65" i="5"/>
  <c r="I65" i="5"/>
  <c r="J65" i="5"/>
  <c r="F65" i="5"/>
  <c r="L63" i="4"/>
  <c r="F64" i="4" l="1"/>
  <c r="B65" i="5"/>
  <c r="M63" i="4"/>
  <c r="I64" i="4" l="1"/>
  <c r="H66" i="5" s="1"/>
  <c r="H64" i="4"/>
  <c r="G66" i="5" s="1"/>
  <c r="G64" i="4"/>
  <c r="K64" i="4"/>
  <c r="J66" i="5" s="1"/>
  <c r="J64" i="4"/>
  <c r="I66" i="5" s="1"/>
  <c r="F66" i="5" l="1"/>
  <c r="L64" i="4"/>
  <c r="B2" i="5" l="1"/>
  <c r="B66" i="5"/>
  <c r="M64" i="4"/>
  <c r="B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Prototype</author>
  </authors>
  <commentList>
    <comment ref="A5" authorId="0" shapeId="0" xr:uid="{00000000-0006-0000-0100-000001000000}">
      <text>
        <r>
          <rPr>
            <sz val="11"/>
            <color theme="1"/>
            <rFont val="Calibri"/>
            <family val="2"/>
            <scheme val="minor"/>
          </rPr>
          <t>Number of turns (weeks) to simulate. Simulation tab has exactly this many rows.</t>
        </r>
      </text>
    </comment>
    <comment ref="A6" authorId="0" shapeId="0" xr:uid="{00000000-0006-0000-0100-000002000000}">
      <text>
        <r>
          <rPr>
            <sz val="11"/>
            <color theme="1"/>
            <rFont val="Calibri"/>
            <family val="2"/>
            <scheme val="minor"/>
          </rPr>
          <t>Ignore early instability when evaluating collapse; collapse checks begin after warmup.</t>
        </r>
      </text>
    </comment>
    <comment ref="A7" authorId="0" shapeId="0" xr:uid="{00000000-0006-0000-0100-000003000000}">
      <text>
        <r>
          <rPr>
            <sz val="11"/>
            <color theme="1"/>
            <rFont val="Calibri"/>
            <family val="2"/>
            <scheme val="minor"/>
          </rPr>
          <t>If Health &lt; θ for N consecutive ticks (after warmup) → collapse.</t>
        </r>
      </text>
    </comment>
    <comment ref="A8" authorId="0" shapeId="0" xr:uid="{00000000-0006-0000-0100-000004000000}">
      <text>
        <r>
          <rPr>
            <sz val="11"/>
            <color theme="1"/>
            <rFont val="Calibri"/>
            <family val="2"/>
            <scheme val="minor"/>
          </rPr>
          <t>Consecutive ticks below θ required to trigger collapse.</t>
        </r>
      </text>
    </comment>
    <comment ref="A9" authorId="0" shapeId="0" xr:uid="{00000000-0006-0000-0100-000005000000}">
      <text>
        <r>
          <rPr>
            <sz val="11"/>
            <color theme="1"/>
            <rFont val="Calibri"/>
            <family val="2"/>
            <scheme val="minor"/>
          </rPr>
          <t>If prior-week Health &lt; trigger → emergency autonomy activates.</t>
        </r>
      </text>
    </comment>
    <comment ref="A10" authorId="0" shapeId="0" xr:uid="{00000000-0006-0000-0100-000006000000}">
      <text>
        <r>
          <rPr>
            <sz val="11"/>
            <color theme="1"/>
            <rFont val="Calibri"/>
            <family val="2"/>
            <scheme val="minor"/>
          </rPr>
          <t>Extra organ damage per tick while autonomy is active.</t>
        </r>
      </text>
    </comment>
    <comment ref="A11" authorId="0" shapeId="0" xr:uid="{00000000-0006-0000-0100-000007000000}">
      <text>
        <r>
          <rPr>
            <sz val="11"/>
            <color theme="1"/>
            <rFont val="Calibri"/>
            <family val="2"/>
            <scheme val="minor"/>
          </rPr>
          <t>How quickly organs heal when funded and stress is low.</t>
        </r>
      </text>
    </comment>
    <comment ref="A12" authorId="0" shapeId="0" xr:uid="{00000000-0006-0000-0100-000008000000}">
      <text>
        <r>
          <rPr>
            <sz val="11"/>
            <color theme="1"/>
            <rFont val="Calibri"/>
            <family val="2"/>
            <scheme val="minor"/>
          </rPr>
          <t>How sharply stress converts into organ damage.</t>
        </r>
      </text>
    </comment>
    <comment ref="A15" authorId="0" shapeId="0" xr:uid="{00000000-0006-0000-0100-000009000000}">
      <text>
        <r>
          <rPr>
            <sz val="11"/>
            <color theme="1"/>
            <rFont val="Calibri"/>
            <family val="2"/>
            <scheme val="minor"/>
          </rPr>
          <t>Digestive reserves (nutrition availability).</t>
        </r>
      </text>
    </comment>
    <comment ref="A16" authorId="0" shapeId="0" xr:uid="{00000000-0006-0000-0100-00000A000000}">
      <text>
        <r>
          <rPr>
            <sz val="11"/>
            <color theme="1"/>
            <rFont val="Calibri"/>
            <family val="2"/>
            <scheme val="minor"/>
          </rPr>
          <t>Kidney/circulation support (clean water reliability).</t>
        </r>
      </text>
    </comment>
    <comment ref="A17" authorId="0" shapeId="0" xr:uid="{00000000-0006-0000-0100-00000B000000}">
      <text>
        <r>
          <rPr>
            <sz val="11"/>
            <color theme="1"/>
            <rFont val="Calibri"/>
            <family val="2"/>
            <scheme val="minor"/>
          </rPr>
          <t>Respiratory baseline (air quality).</t>
        </r>
      </text>
    </comment>
    <comment ref="A18" authorId="0" shapeId="0" xr:uid="{00000000-0006-0000-0100-00000C000000}">
      <text>
        <r>
          <rPr>
            <sz val="11"/>
            <color theme="1"/>
            <rFont val="Calibri"/>
            <family val="2"/>
            <scheme val="minor"/>
          </rPr>
          <t>Nervous-system analog: adherence to guidance &amp; cohesion.</t>
        </r>
      </text>
    </comment>
    <comment ref="A21" authorId="0" shapeId="0" xr:uid="{00000000-0006-0000-0100-00000D000000}">
      <text>
        <r>
          <rPr>
            <sz val="11"/>
            <color theme="1"/>
            <rFont val="Calibri"/>
            <family val="2"/>
            <scheme val="minor"/>
          </rPr>
          <t>Vaccines, surveillance, preparedness.</t>
        </r>
      </text>
    </comment>
    <comment ref="A22" authorId="0" shapeId="0" xr:uid="{00000000-0006-0000-0100-00000E000000}">
      <text>
        <r>
          <rPr>
            <sz val="11"/>
            <color theme="1"/>
            <rFont val="Calibri"/>
            <family val="2"/>
            <scheme val="minor"/>
          </rPr>
          <t>ICU/clinics capacity &amp; staffing.</t>
        </r>
      </text>
    </comment>
    <comment ref="A23" authorId="0" shapeId="0" xr:uid="{00000000-0006-0000-0100-00000F000000}">
      <text>
        <r>
          <rPr>
            <sz val="11"/>
            <color theme="1"/>
            <rFont val="Calibri"/>
            <family val="2"/>
            <scheme val="minor"/>
          </rPr>
          <t>Utilities, sanitation, environmental controls.</t>
        </r>
      </text>
    </comment>
    <comment ref="A24" authorId="0" shapeId="0" xr:uid="{00000000-0006-0000-0100-000010000000}">
      <text>
        <r>
          <rPr>
            <sz val="11"/>
            <color theme="1"/>
            <rFont val="Calibri"/>
            <family val="2"/>
            <scheme val="minor"/>
          </rPr>
          <t>Distribution, routing, emergency supply chain.</t>
        </r>
      </text>
    </comment>
    <comment ref="A25" authorId="0" shapeId="0" xr:uid="{00000000-0006-0000-0100-000011000000}">
      <text>
        <r>
          <rPr>
            <sz val="11"/>
            <color theme="1"/>
            <rFont val="Calibri"/>
            <family val="2"/>
            <scheme val="minor"/>
          </rPr>
          <t>Communication, education, community support.</t>
        </r>
      </text>
    </comment>
    <comment ref="A27" authorId="0" shapeId="0" xr:uid="{00000000-0006-0000-0100-000012000000}">
      <text>
        <r>
          <rPr>
            <sz val="11"/>
            <color theme="1"/>
            <rFont val="Calibri"/>
            <family val="2"/>
            <scheme val="minor"/>
          </rPr>
          <t>0–1. Higher means reliance on external 'organs' (imports/contracted services). Raises shock impact.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tc={CE125C6A-5931-49F1-88CA-3B1C33D3AE90}</author>
    <author>tc={9A60A5C7-3CE6-4C84-99FE-094C067AC841}</author>
    <author>tc={787C998A-8667-4AB9-8159-33A5C3876D64}</author>
  </authors>
  <commentList>
    <comment ref="K20" authorId="0" shapeId="0" xr:uid="{CE125C6A-5931-49F1-88CA-3B1C33D3AE90}">
      <text>
        <t xml:space="preserve">[Threaded comment]
Your version of Excel allows you to read this threaded comment; however, any edits to it will get removed if the file is opened in a newer version of Excel. Learn more: https://go.microsoft.com/fwlink/?linkid=870924
Comment:
    Health in the Global Health Over Time chart represents the overall functional integrity of the nation, scaled from 0 to 1.
It is a composite measure that aggregates:
Baseline vitals (food, water, air, trust)
The current condition of key subsystems (logistics, immune system, hospitals, utilities, and trust damage)
The effects of stress, autonomy, and recovery dynamics
A value near 1 indicates strong systemic stability and low organ damage.
A value near 0 indicates widespread subsystem failure and severe structural breakdown.
Health does not represent a single variable—it reflects the integrated state of the entire national “body.” When multiple organs accumulate damage or stress overwhelms recovery, the Health score declines accordingly.
</t>
      </text>
    </comment>
    <comment ref="K21" authorId="1" shapeId="0" xr:uid="{9A60A5C7-3CE6-4C84-99FE-094C067AC841}">
      <text>
        <t xml:space="preserve">[Threaded comment]
Your version of Excel allows you to read this threaded comment; however, any edits to it will get removed if the file is opened in a newer version of Excel. Learn more: https://go.microsoft.com/fwlink/?linkid=870924
Comment:
    The Collapse Threshold (red line) represents the critical health boundary below which the system can no longer sustain stable national function.
In this simulation, if Global Health remains below the red line for a specified number of consecutive weeks (Collapse duration N), the system is formally considered to have collapsed. This prevents momentary dips from triggering failure—collapse only occurs when deterioration is sustained.
Conceptually:
Above the red line → The system is structurally viable.
Below the red line (briefly) → Severe instability, but potentially recoverable.
Below the red line for N consecutive ticks → Structural failure is triggered.
In the model, collapse does not mean immediate disappearance; it represents systemic breakdown across interconnected organs (logistics, prevention, infrastructure, trust), where recovery mechanisms are no longer sufficient to restore stability.
</t>
      </text>
    </comment>
    <comment ref="K22" authorId="2" shapeId="0" xr:uid="{787C998A-8667-4AB9-8159-33A5C3876D64}">
      <text>
        <t xml:space="preserve">[Threaded comment]
Your version of Excel allows you to read this threaded comment; however, any edits to it will get removed if the file is opened in a newer version of Excel. Learn more: https://go.microsoft.com/fwlink/?linkid=870924
Comment:
    The Autonomy Trigger (green line) represents the health level at which the system enters emergency self-preservation mode.
In this simulation, when Global Health falls below the autonomy trigger value, the system activates Autonomy in the following week. Autonomy simulates emergency measures—such as rationing, centralized control, or crisis governance—that attempt to stabilize the system under stress. However, while autonomy may slow immediate collapse, it also introduces additional strain (via the autonomy fatigue rate), reflecting the long-term cost of operating in emergency mode.
Conceptually:
Above the green line → Normal governance and recovery mechanisms operate.
Below the green line → The nation switches into emergency survival behavior.
Prolonged time below this line increases systemic fatigue and damage.
</t>
      </text>
    </comment>
  </commentList>
</comments>
</file>

<file path=xl/sharedStrings.xml><?xml version="1.0" encoding="utf-8"?>
<sst xmlns="http://schemas.openxmlformats.org/spreadsheetml/2006/main" count="98" uniqueCount="89">
  <si>
    <t>Body of a Nation — Health Systems Prototype (Excel)</t>
  </si>
  <si>
    <t>Purpose</t>
  </si>
  <si>
    <t>Model national health as a living body: vitals + organ integrity + trust, driven by shocks, stress, and emergency autonomy.</t>
  </si>
  <si>
    <t>How to use</t>
  </si>
  <si>
    <t>1) Inputs: adjust blue cells (scenario, settings, vitals, policy budget split, dependency).</t>
  </si>
  <si>
    <t>2) Events: edit shock weeks/severity to test different crisis schedules.</t>
  </si>
  <si>
    <t>3) Simulation: each row is one week (60 ticks = 60 rows).</t>
  </si>
  <si>
    <t>4) Dashboard: charts show health and organ damage over time with collapse/autonomy thresholds.</t>
  </si>
  <si>
    <t>Key mechanics</t>
  </si>
  <si>
    <t>• Stress increases when vitals drop, trust drops, and shocks occur (amplified by dependency).</t>
  </si>
  <si>
    <t>• Autonomy triggers when prior-week health &lt; Autonomy trigger; it adds fatigue damage while active.</t>
  </si>
  <si>
    <t>• Collapse triggers if health stays below θ for N consecutive ticks after warmup.</t>
  </si>
  <si>
    <t>SCENARIO</t>
  </si>
  <si>
    <t>Scenario</t>
  </si>
  <si>
    <t>Choose a preset shock schedule and baseline settings.</t>
  </si>
  <si>
    <t>SIMULATION</t>
  </si>
  <si>
    <t>Ticks (weeks)</t>
  </si>
  <si>
    <t>Number of turns (weeks) to simulate. Simulation tab has exactly this many rows.</t>
  </si>
  <si>
    <t>Warmup ticks</t>
  </si>
  <si>
    <t>Ignore early instability when evaluating collapse; collapse checks begin after warmup.</t>
  </si>
  <si>
    <t>Collapse threshold θ</t>
  </si>
  <si>
    <t>If Health &lt; θ for N consecutive ticks (after warmup) → collapse.</t>
  </si>
  <si>
    <t>Collapse duration N</t>
  </si>
  <si>
    <t>Consecutive ticks below θ required to trigger collapse.</t>
  </si>
  <si>
    <t>Autonomy trigger</t>
  </si>
  <si>
    <t>If prior-week Health &lt; trigger → emergency autonomy activates.</t>
  </si>
  <si>
    <t>Autonomy fatigue rate</t>
  </si>
  <si>
    <t>Extra organ damage per tick while autonomy is active.</t>
  </si>
  <si>
    <t>Base recovery rate</t>
  </si>
  <si>
    <t>How quickly organs heal when funded and stress is low.</t>
  </si>
  <si>
    <t>Base damage sensitivity</t>
  </si>
  <si>
    <t>How sharply stress converts into organ damage.</t>
  </si>
  <si>
    <t>VITALS (BASELINE SUFFICIENCY 0–1)</t>
  </si>
  <si>
    <t>Food sufficiency</t>
  </si>
  <si>
    <t>Digestive reserves (nutrition availability).</t>
  </si>
  <si>
    <t>Water sufficiency</t>
  </si>
  <si>
    <t>Kidney/circulation support (clean water reliability).</t>
  </si>
  <si>
    <t>Air sufficiency</t>
  </si>
  <si>
    <t>Respiratory baseline (air quality).</t>
  </si>
  <si>
    <t>Trust / compliance</t>
  </si>
  <si>
    <t>Nervous-system analog: adherence to guidance &amp; cohesion.</t>
  </si>
  <si>
    <t>POLICY LEVERS (BUDGET SPLIT; MUST SUM TO 1.0)</t>
  </si>
  <si>
    <t>Prevention (immune)</t>
  </si>
  <si>
    <t>Vaccines, surveillance, preparedness.</t>
  </si>
  <si>
    <t>Sum</t>
  </si>
  <si>
    <t>(should be 1.0)</t>
  </si>
  <si>
    <t>Treatment (hospitals)</t>
  </si>
  <si>
    <t>ICU/clinics capacity &amp; staffing.</t>
  </si>
  <si>
    <t>Infrastructure (water/air)</t>
  </si>
  <si>
    <t>Utilities, sanitation, environmental controls.</t>
  </si>
  <si>
    <t>Logistics (heart)</t>
  </si>
  <si>
    <t>Distribution, routing, emergency supply chain.</t>
  </si>
  <si>
    <t>Cohesion (trust)</t>
  </si>
  <si>
    <t>Communication, education, community support.</t>
  </si>
  <si>
    <t>Dependency (outsourcing) level</t>
  </si>
  <si>
    <t>0–1. Higher means reliance on external 'organs' (imports/contracted services). Raises shock impact.</t>
  </si>
  <si>
    <t>Events (Shock Schedule)</t>
  </si>
  <si>
    <t>Edit the table below. Week is 0–59 (matches Simulation t). Shock severity is 0–1.</t>
  </si>
  <si>
    <t>Week</t>
  </si>
  <si>
    <t>Shock severity (0–1)</t>
  </si>
  <si>
    <t>Label</t>
  </si>
  <si>
    <t>Pandemic wave 1</t>
  </si>
  <si>
    <t>Strain mutation</t>
  </si>
  <si>
    <t>Supply delay</t>
  </si>
  <si>
    <t>Wave 2</t>
  </si>
  <si>
    <t>Aftershock</t>
  </si>
  <si>
    <t>Simulation (weekly progression)</t>
  </si>
  <si>
    <t>One row per week. Blue columns are driven by Inputs/Events; other columns are calculated.</t>
  </si>
  <si>
    <t>t</t>
  </si>
  <si>
    <t>Shock severity</t>
  </si>
  <si>
    <t>Vital ratio</t>
  </si>
  <si>
    <t>Trust</t>
  </si>
  <si>
    <t>Stress</t>
  </si>
  <si>
    <t>Autonomy</t>
  </si>
  <si>
    <t>HEART dmg</t>
  </si>
  <si>
    <t>IMMUNE dmg</t>
  </si>
  <si>
    <t>HOSP dmg</t>
  </si>
  <si>
    <t>UTIL dmg</t>
  </si>
  <si>
    <t>TRUST dmg</t>
  </si>
  <si>
    <t>Health</t>
  </si>
  <si>
    <t>Collapse?</t>
  </si>
  <si>
    <t>Dashboard</t>
  </si>
  <si>
    <t>Current Health (last tick)</t>
  </si>
  <si>
    <t>Collapsed?</t>
  </si>
  <si>
    <t>Collapse θ</t>
  </si>
  <si>
    <t>Chart Data (used for chart debug; beside)</t>
  </si>
  <si>
    <t>Supply Shock</t>
  </si>
  <si>
    <t>Autonomy Trigger</t>
  </si>
  <si>
    <t>Collapse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</si>
</sst>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6"/>
      <color rgb="FFFFFFFF"/>
      <name val="Calibri"/>
    </font>
    <font>
      <sz val="11"/>
      <color rgb="FFFFFFFF"/>
      <name val="Calibri"/>
    </font>
    <font>
      <b/>
      <sz val="11"/>
      <color rgb="FFFFFFFF"/>
      <name val="Calibri"/>
    </font>
    <font>
      <sz val="11"/>
      <color rgb="FFCCCCCC"/>
      <name val="Calibri"/>
    </font>
    <font>
      <b/>
      <sz val="11"/>
      <color rgb="FFCCCCCC"/>
      <name val="Calibri"/>
      <family val="2"/>
    </font>
    <font>
      <sz val="11"/>
      <color rgb="FFFF0000"/>
      <name val="Calibri"/>
      <family val="2"/>
      <scheme val="minor"/>
    </font>
    <font>
      <sz val="9"/>
      <color indexed="81"/>
      <name val="Tahoma"/>
      <family val="2"/>
    </font>
    <font>
      <sz val="11"/>
      <color rgb="FF00B050"/>
      <name val="Calibri"/>
      <family val="2"/>
      <scheme val="minor"/>
    </font>
    <font>
      <sz val="11"/>
      <color theme="3" tint="0.39997558519241921"/>
      <name val="Calibri"/>
      <family val="2"/>
      <scheme val="minor"/>
    </font>
  </fonts>
  <fills count="6">
    <fill>
      <patternFill patternType="none"/>
    </fill>
    <fill>
      <patternFill patternType="gray125"/>
    </fill>
    <fill>
      <patternFill patternType="solid">
        <fgColor rgb="FF0F0F0F"/>
      </patternFill>
    </fill>
    <fill>
      <patternFill patternType="solid">
        <fgColor rgb="FF1B1B1B"/>
      </patternFill>
    </fill>
    <fill>
      <patternFill patternType="solid">
        <fgColor theme="1"/>
        <bgColor indexed="64"/>
      </patternFill>
    </fill>
    <fill>
      <patternFill patternType="solid">
        <fgColor theme="3" tint="-0.249977111117893"/>
        <bgColor indexed="64"/>
      </patternFill>
    </fill>
  </fills>
  <borders count="2">
    <border>
      <left/>
      <right/>
      <top/>
      <bottom/>
      <diagonal/>
    </border>
    <border>
      <left style="thin">
        <color rgb="FF444444"/>
      </left>
      <right style="thin">
        <color rgb="FF444444"/>
      </right>
      <top style="thin">
        <color rgb="FF444444"/>
      </top>
      <bottom style="thin">
        <color rgb="FF444444"/>
      </bottom>
      <diagonal/>
    </border>
  </borders>
  <cellStyleXfs count="1">
    <xf numFmtId="0" fontId="0" fillId="0" borderId="0"/>
  </cellStyleXfs>
  <cellXfs count="20">
    <xf numFmtId="0" fontId="0" fillId="0" borderId="0" xfId="0"/>
    <xf numFmtId="0" fontId="2" fillId="3"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3" fillId="2" borderId="1" xfId="0" applyFont="1" applyFill="1" applyBorder="1" applyAlignment="1">
      <alignment horizontal="center" vertical="center" wrapText="1"/>
    </xf>
    <xf numFmtId="0" fontId="0" fillId="4" borderId="0" xfId="0" applyFill="1"/>
    <xf numFmtId="0" fontId="2"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3" fillId="5" borderId="1" xfId="0" applyFont="1" applyFill="1" applyBorder="1" applyAlignment="1">
      <alignment horizontal="center" vertical="center" wrapText="1"/>
    </xf>
    <xf numFmtId="0" fontId="3" fillId="2" borderId="1" xfId="0" applyFont="1" applyFill="1" applyBorder="1" applyAlignment="1">
      <alignment horizontal="left" vertical="top"/>
    </xf>
    <xf numFmtId="0" fontId="2" fillId="3" borderId="1" xfId="0" applyFont="1" applyFill="1" applyBorder="1" applyAlignment="1">
      <alignment horizontal="left" vertical="top"/>
    </xf>
    <xf numFmtId="0" fontId="1" fillId="4" borderId="1" xfId="0" applyFont="1" applyFill="1" applyBorder="1" applyAlignment="1">
      <alignment horizontal="left" vertical="top" wrapText="1"/>
    </xf>
    <xf numFmtId="0" fontId="3" fillId="4" borderId="1" xfId="0" applyFont="1" applyFill="1" applyBorder="1" applyAlignment="1">
      <alignment horizontal="left" vertical="top"/>
    </xf>
    <xf numFmtId="0" fontId="2" fillId="4" borderId="1" xfId="0" applyFont="1" applyFill="1" applyBorder="1" applyAlignment="1">
      <alignment horizontal="left" vertical="top"/>
    </xf>
    <xf numFmtId="0" fontId="5" fillId="4" borderId="1" xfId="0" applyFont="1" applyFill="1" applyBorder="1" applyAlignment="1">
      <alignment horizontal="left" vertical="top"/>
    </xf>
    <xf numFmtId="0" fontId="6" fillId="4" borderId="0" xfId="0" applyFont="1" applyFill="1"/>
    <xf numFmtId="0" fontId="8" fillId="4" borderId="0" xfId="0" applyFont="1" applyFill="1"/>
    <xf numFmtId="0" fontId="9"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400"/>
            </a:pPr>
            <a:r>
              <a:rPr lang="en-US" sz="1400"/>
              <a:t>Global Health Over Time</a:t>
            </a:r>
          </a:p>
        </c:rich>
      </c:tx>
      <c:layout>
        <c:manualLayout>
          <c:xMode val="edge"/>
          <c:yMode val="edge"/>
          <c:x val="0.42764361769903475"/>
          <c:y val="6.7414096128254521E-3"/>
        </c:manualLayout>
      </c:layout>
      <c:overlay val="1"/>
    </c:title>
    <c:autoTitleDeleted val="0"/>
    <c:plotArea>
      <c:layout>
        <c:manualLayout>
          <c:layoutTarget val="inner"/>
          <c:xMode val="edge"/>
          <c:yMode val="edge"/>
          <c:x val="3.4101754744070435E-2"/>
          <c:y val="5.1558768541929617E-2"/>
          <c:w val="0.9551068793682963"/>
          <c:h val="0.91847491015012916"/>
        </c:manualLayout>
      </c:layout>
      <c:lineChart>
        <c:grouping val="standard"/>
        <c:varyColors val="1"/>
        <c:ser>
          <c:idx val="0"/>
          <c:order val="0"/>
          <c:tx>
            <c:strRef>
              <c:f>Dashboard!$B$6</c:f>
              <c:strCache>
                <c:ptCount val="1"/>
                <c:pt idx="0">
                  <c:v>Health</c:v>
                </c:pt>
              </c:strCache>
            </c:strRef>
          </c:tx>
          <c:spPr>
            <a:ln>
              <a:prstDash val="solid"/>
            </a:ln>
          </c:spPr>
          <c:marker>
            <c:symbol val="none"/>
          </c:marker>
          <c:cat>
            <c:numRef>
              <c:f>Dashboard!$A$7:$A$66</c:f>
              <c:numCache>
                <c:formatCode>General</c:formatCode>
                <c:ptCount val="6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numCache>
            </c:numRef>
          </c:cat>
          <c:val>
            <c:numRef>
              <c:f>Dashboard!$B$7:$B$66</c:f>
              <c:numCache>
                <c:formatCode>General</c:formatCode>
                <c:ptCount val="60"/>
                <c:pt idx="0">
                  <c:v>0.84866666666666668</c:v>
                </c:pt>
                <c:pt idx="1">
                  <c:v>0.80809801333333331</c:v>
                </c:pt>
                <c:pt idx="2">
                  <c:v>0.76752935999999994</c:v>
                </c:pt>
                <c:pt idx="3">
                  <c:v>0.70696070666666677</c:v>
                </c:pt>
                <c:pt idx="4">
                  <c:v>0.64639205333333338</c:v>
                </c:pt>
                <c:pt idx="5">
                  <c:v>0.58582339999999999</c:v>
                </c:pt>
                <c:pt idx="6">
                  <c:v>0.52525474666666672</c:v>
                </c:pt>
                <c:pt idx="7">
                  <c:v>0.46468609333333333</c:v>
                </c:pt>
                <c:pt idx="8">
                  <c:v>0.43234677333333338</c:v>
                </c:pt>
                <c:pt idx="9">
                  <c:v>0.4267258266666667</c:v>
                </c:pt>
                <c:pt idx="10">
                  <c:v>0.42459906666666675</c:v>
                </c:pt>
                <c:pt idx="11">
                  <c:v>0.42247230666666674</c:v>
                </c:pt>
                <c:pt idx="12">
                  <c:v>0.42034554666666674</c:v>
                </c:pt>
                <c:pt idx="13">
                  <c:v>0.41910066666666673</c:v>
                </c:pt>
                <c:pt idx="14">
                  <c:v>0.42451866666666671</c:v>
                </c:pt>
                <c:pt idx="15">
                  <c:v>0.42993666666666674</c:v>
                </c:pt>
                <c:pt idx="16">
                  <c:v>0.4311666666666667</c:v>
                </c:pt>
                <c:pt idx="17">
                  <c:v>0.4311666666666667</c:v>
                </c:pt>
                <c:pt idx="18">
                  <c:v>0.4311666666666667</c:v>
                </c:pt>
                <c:pt idx="19">
                  <c:v>0.4311666666666667</c:v>
                </c:pt>
                <c:pt idx="20">
                  <c:v>0.4311666666666667</c:v>
                </c:pt>
                <c:pt idx="21">
                  <c:v>0.4311666666666667</c:v>
                </c:pt>
                <c:pt idx="22">
                  <c:v>0.4311666666666667</c:v>
                </c:pt>
                <c:pt idx="23">
                  <c:v>0.4311666666666667</c:v>
                </c:pt>
                <c:pt idx="24">
                  <c:v>0.4311666666666667</c:v>
                </c:pt>
                <c:pt idx="25">
                  <c:v>0.4311666666666667</c:v>
                </c:pt>
                <c:pt idx="26">
                  <c:v>0.4311666666666667</c:v>
                </c:pt>
                <c:pt idx="27">
                  <c:v>0.4311666666666667</c:v>
                </c:pt>
                <c:pt idx="28">
                  <c:v>0.4311666666666667</c:v>
                </c:pt>
                <c:pt idx="29">
                  <c:v>0.4311666666666667</c:v>
                </c:pt>
                <c:pt idx="30">
                  <c:v>0.4311666666666667</c:v>
                </c:pt>
                <c:pt idx="31">
                  <c:v>0.4311666666666667</c:v>
                </c:pt>
                <c:pt idx="32">
                  <c:v>0.4311666666666667</c:v>
                </c:pt>
                <c:pt idx="33">
                  <c:v>0.4311666666666667</c:v>
                </c:pt>
                <c:pt idx="34">
                  <c:v>0.4311666666666667</c:v>
                </c:pt>
                <c:pt idx="35">
                  <c:v>0.4311666666666667</c:v>
                </c:pt>
                <c:pt idx="36">
                  <c:v>0.4311666666666667</c:v>
                </c:pt>
                <c:pt idx="37">
                  <c:v>0.4311666666666667</c:v>
                </c:pt>
                <c:pt idx="38">
                  <c:v>0.4311666666666667</c:v>
                </c:pt>
                <c:pt idx="39">
                  <c:v>0.4311666666666667</c:v>
                </c:pt>
                <c:pt idx="40">
                  <c:v>0.4311666666666667</c:v>
                </c:pt>
                <c:pt idx="41">
                  <c:v>0.4311666666666667</c:v>
                </c:pt>
                <c:pt idx="42">
                  <c:v>0.4311666666666667</c:v>
                </c:pt>
                <c:pt idx="43">
                  <c:v>0.4311666666666667</c:v>
                </c:pt>
                <c:pt idx="44">
                  <c:v>0.4311666666666667</c:v>
                </c:pt>
                <c:pt idx="45">
                  <c:v>0.4311666666666667</c:v>
                </c:pt>
                <c:pt idx="46">
                  <c:v>0.4311666666666667</c:v>
                </c:pt>
                <c:pt idx="47">
                  <c:v>0.4311666666666667</c:v>
                </c:pt>
                <c:pt idx="48">
                  <c:v>0.4311666666666667</c:v>
                </c:pt>
                <c:pt idx="49">
                  <c:v>0.4311666666666667</c:v>
                </c:pt>
                <c:pt idx="50">
                  <c:v>0.4311666666666667</c:v>
                </c:pt>
                <c:pt idx="51">
                  <c:v>0.4311666666666667</c:v>
                </c:pt>
                <c:pt idx="52">
                  <c:v>0.4311666666666667</c:v>
                </c:pt>
                <c:pt idx="53">
                  <c:v>0.4311666666666667</c:v>
                </c:pt>
                <c:pt idx="54">
                  <c:v>0.4311666666666667</c:v>
                </c:pt>
                <c:pt idx="55">
                  <c:v>0.4311666666666667</c:v>
                </c:pt>
                <c:pt idx="56">
                  <c:v>0.4311666666666667</c:v>
                </c:pt>
                <c:pt idx="57">
                  <c:v>0.4311666666666667</c:v>
                </c:pt>
                <c:pt idx="58">
                  <c:v>0.4311666666666667</c:v>
                </c:pt>
                <c:pt idx="59">
                  <c:v>0.4311666666666667</c:v>
                </c:pt>
              </c:numCache>
            </c:numRef>
          </c:val>
          <c:smooth val="1"/>
          <c:extLst>
            <c:ext xmlns:c16="http://schemas.microsoft.com/office/drawing/2014/chart" uri="{C3380CC4-5D6E-409C-BE32-E72D297353CC}">
              <c16:uniqueId val="{00000000-2477-427D-88A7-9883B4CD3707}"/>
            </c:ext>
          </c:extLst>
        </c:ser>
        <c:ser>
          <c:idx val="1"/>
          <c:order val="1"/>
          <c:tx>
            <c:strRef>
              <c:f>Dashboard!$C$6</c:f>
              <c:strCache>
                <c:ptCount val="1"/>
                <c:pt idx="0">
                  <c:v>Collapse θ</c:v>
                </c:pt>
              </c:strCache>
            </c:strRef>
          </c:tx>
          <c:spPr>
            <a:ln>
              <a:prstDash val="solid"/>
            </a:ln>
          </c:spPr>
          <c:marker>
            <c:symbol val="none"/>
          </c:marker>
          <c:cat>
            <c:numRef>
              <c:f>Dashboard!$A$7:$A$66</c:f>
              <c:numCache>
                <c:formatCode>General</c:formatCode>
                <c:ptCount val="6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numCache>
            </c:numRef>
          </c:cat>
          <c:val>
            <c:numRef>
              <c:f>Dashboard!$C$7:$C$66</c:f>
              <c:numCache>
                <c:formatCode>General</c:formatCode>
                <c:ptCount val="60"/>
                <c:pt idx="0">
                  <c:v>0.85</c:v>
                </c:pt>
                <c:pt idx="1">
                  <c:v>0.85</c:v>
                </c:pt>
                <c:pt idx="2">
                  <c:v>0.85</c:v>
                </c:pt>
                <c:pt idx="3">
                  <c:v>0.85</c:v>
                </c:pt>
                <c:pt idx="4">
                  <c:v>0.85</c:v>
                </c:pt>
                <c:pt idx="5">
                  <c:v>0.85</c:v>
                </c:pt>
                <c:pt idx="6">
                  <c:v>0.85</c:v>
                </c:pt>
                <c:pt idx="7">
                  <c:v>0.85</c:v>
                </c:pt>
                <c:pt idx="8">
                  <c:v>0.85</c:v>
                </c:pt>
                <c:pt idx="9">
                  <c:v>0.85</c:v>
                </c:pt>
                <c:pt idx="10">
                  <c:v>0.85</c:v>
                </c:pt>
                <c:pt idx="11">
                  <c:v>0.85</c:v>
                </c:pt>
                <c:pt idx="12">
                  <c:v>0.85</c:v>
                </c:pt>
                <c:pt idx="13">
                  <c:v>0.85</c:v>
                </c:pt>
                <c:pt idx="14">
                  <c:v>0.85</c:v>
                </c:pt>
                <c:pt idx="15">
                  <c:v>0.85</c:v>
                </c:pt>
                <c:pt idx="16">
                  <c:v>0.85</c:v>
                </c:pt>
                <c:pt idx="17">
                  <c:v>0.85</c:v>
                </c:pt>
                <c:pt idx="18">
                  <c:v>0.85</c:v>
                </c:pt>
                <c:pt idx="19">
                  <c:v>0.85</c:v>
                </c:pt>
                <c:pt idx="20">
                  <c:v>0.85</c:v>
                </c:pt>
                <c:pt idx="21">
                  <c:v>0.85</c:v>
                </c:pt>
                <c:pt idx="22">
                  <c:v>0.85</c:v>
                </c:pt>
                <c:pt idx="23">
                  <c:v>0.85</c:v>
                </c:pt>
                <c:pt idx="24">
                  <c:v>0.85</c:v>
                </c:pt>
                <c:pt idx="25">
                  <c:v>0.85</c:v>
                </c:pt>
                <c:pt idx="26">
                  <c:v>0.85</c:v>
                </c:pt>
                <c:pt idx="27">
                  <c:v>0.85</c:v>
                </c:pt>
                <c:pt idx="28">
                  <c:v>0.85</c:v>
                </c:pt>
                <c:pt idx="29">
                  <c:v>0.85</c:v>
                </c:pt>
                <c:pt idx="30">
                  <c:v>0.85</c:v>
                </c:pt>
                <c:pt idx="31">
                  <c:v>0.85</c:v>
                </c:pt>
                <c:pt idx="32">
                  <c:v>0.85</c:v>
                </c:pt>
                <c:pt idx="33">
                  <c:v>0.85</c:v>
                </c:pt>
                <c:pt idx="34">
                  <c:v>0.85</c:v>
                </c:pt>
                <c:pt idx="35">
                  <c:v>0.85</c:v>
                </c:pt>
                <c:pt idx="36">
                  <c:v>0.85</c:v>
                </c:pt>
                <c:pt idx="37">
                  <c:v>0.85</c:v>
                </c:pt>
                <c:pt idx="38">
                  <c:v>0.85</c:v>
                </c:pt>
                <c:pt idx="39">
                  <c:v>0.85</c:v>
                </c:pt>
                <c:pt idx="40">
                  <c:v>0.85</c:v>
                </c:pt>
                <c:pt idx="41">
                  <c:v>0.85</c:v>
                </c:pt>
                <c:pt idx="42">
                  <c:v>0.85</c:v>
                </c:pt>
                <c:pt idx="43">
                  <c:v>0.85</c:v>
                </c:pt>
                <c:pt idx="44">
                  <c:v>0.85</c:v>
                </c:pt>
                <c:pt idx="45">
                  <c:v>0.85</c:v>
                </c:pt>
                <c:pt idx="46">
                  <c:v>0.85</c:v>
                </c:pt>
                <c:pt idx="47">
                  <c:v>0.85</c:v>
                </c:pt>
                <c:pt idx="48">
                  <c:v>0.85</c:v>
                </c:pt>
                <c:pt idx="49">
                  <c:v>0.85</c:v>
                </c:pt>
                <c:pt idx="50">
                  <c:v>0.85</c:v>
                </c:pt>
                <c:pt idx="51">
                  <c:v>0.85</c:v>
                </c:pt>
                <c:pt idx="52">
                  <c:v>0.85</c:v>
                </c:pt>
                <c:pt idx="53">
                  <c:v>0.85</c:v>
                </c:pt>
                <c:pt idx="54">
                  <c:v>0.85</c:v>
                </c:pt>
                <c:pt idx="55">
                  <c:v>0.85</c:v>
                </c:pt>
                <c:pt idx="56">
                  <c:v>0.85</c:v>
                </c:pt>
                <c:pt idx="57">
                  <c:v>0.85</c:v>
                </c:pt>
                <c:pt idx="58">
                  <c:v>0.85</c:v>
                </c:pt>
                <c:pt idx="59">
                  <c:v>0.85</c:v>
                </c:pt>
              </c:numCache>
            </c:numRef>
          </c:val>
          <c:smooth val="1"/>
          <c:extLst>
            <c:ext xmlns:c16="http://schemas.microsoft.com/office/drawing/2014/chart" uri="{C3380CC4-5D6E-409C-BE32-E72D297353CC}">
              <c16:uniqueId val="{00000001-2477-427D-88A7-9883B4CD3707}"/>
            </c:ext>
          </c:extLst>
        </c:ser>
        <c:ser>
          <c:idx val="2"/>
          <c:order val="2"/>
          <c:tx>
            <c:strRef>
              <c:f>Dashboard!$D$6</c:f>
              <c:strCache>
                <c:ptCount val="1"/>
                <c:pt idx="0">
                  <c:v>Autonomy trigger</c:v>
                </c:pt>
              </c:strCache>
            </c:strRef>
          </c:tx>
          <c:spPr>
            <a:ln>
              <a:prstDash val="solid"/>
            </a:ln>
          </c:spPr>
          <c:marker>
            <c:symbol val="none"/>
          </c:marker>
          <c:cat>
            <c:numRef>
              <c:f>Dashboard!$A$7:$A$66</c:f>
              <c:numCache>
                <c:formatCode>General</c:formatCode>
                <c:ptCount val="6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numCache>
            </c:numRef>
          </c:cat>
          <c:val>
            <c:numRef>
              <c:f>Dashboard!$D$7:$D$66</c:f>
              <c:numCache>
                <c:formatCode>General</c:formatCode>
                <c:ptCount val="60"/>
                <c:pt idx="0">
                  <c:v>0.78</c:v>
                </c:pt>
                <c:pt idx="1">
                  <c:v>0.78</c:v>
                </c:pt>
                <c:pt idx="2">
                  <c:v>0.78</c:v>
                </c:pt>
                <c:pt idx="3">
                  <c:v>0.78</c:v>
                </c:pt>
                <c:pt idx="4">
                  <c:v>0.78</c:v>
                </c:pt>
                <c:pt idx="5">
                  <c:v>0.78</c:v>
                </c:pt>
                <c:pt idx="6">
                  <c:v>0.78</c:v>
                </c:pt>
                <c:pt idx="7">
                  <c:v>0.78</c:v>
                </c:pt>
                <c:pt idx="8">
                  <c:v>0.78</c:v>
                </c:pt>
                <c:pt idx="9">
                  <c:v>0.78</c:v>
                </c:pt>
                <c:pt idx="10">
                  <c:v>0.78</c:v>
                </c:pt>
                <c:pt idx="11">
                  <c:v>0.78</c:v>
                </c:pt>
                <c:pt idx="12">
                  <c:v>0.78</c:v>
                </c:pt>
                <c:pt idx="13">
                  <c:v>0.78</c:v>
                </c:pt>
                <c:pt idx="14">
                  <c:v>0.78</c:v>
                </c:pt>
                <c:pt idx="15">
                  <c:v>0.78</c:v>
                </c:pt>
                <c:pt idx="16">
                  <c:v>0.78</c:v>
                </c:pt>
                <c:pt idx="17">
                  <c:v>0.78</c:v>
                </c:pt>
                <c:pt idx="18">
                  <c:v>0.78</c:v>
                </c:pt>
                <c:pt idx="19">
                  <c:v>0.78</c:v>
                </c:pt>
                <c:pt idx="20">
                  <c:v>0.78</c:v>
                </c:pt>
                <c:pt idx="21">
                  <c:v>0.78</c:v>
                </c:pt>
                <c:pt idx="22">
                  <c:v>0.78</c:v>
                </c:pt>
                <c:pt idx="23">
                  <c:v>0.78</c:v>
                </c:pt>
                <c:pt idx="24">
                  <c:v>0.78</c:v>
                </c:pt>
                <c:pt idx="25">
                  <c:v>0.78</c:v>
                </c:pt>
                <c:pt idx="26">
                  <c:v>0.78</c:v>
                </c:pt>
                <c:pt idx="27">
                  <c:v>0.78</c:v>
                </c:pt>
                <c:pt idx="28">
                  <c:v>0.78</c:v>
                </c:pt>
                <c:pt idx="29">
                  <c:v>0.78</c:v>
                </c:pt>
                <c:pt idx="30">
                  <c:v>0.78</c:v>
                </c:pt>
                <c:pt idx="31">
                  <c:v>0.78</c:v>
                </c:pt>
                <c:pt idx="32">
                  <c:v>0.78</c:v>
                </c:pt>
                <c:pt idx="33">
                  <c:v>0.78</c:v>
                </c:pt>
                <c:pt idx="34">
                  <c:v>0.78</c:v>
                </c:pt>
                <c:pt idx="35">
                  <c:v>0.78</c:v>
                </c:pt>
                <c:pt idx="36">
                  <c:v>0.78</c:v>
                </c:pt>
                <c:pt idx="37">
                  <c:v>0.78</c:v>
                </c:pt>
                <c:pt idx="38">
                  <c:v>0.78</c:v>
                </c:pt>
                <c:pt idx="39">
                  <c:v>0.78</c:v>
                </c:pt>
                <c:pt idx="40">
                  <c:v>0.78</c:v>
                </c:pt>
                <c:pt idx="41">
                  <c:v>0.78</c:v>
                </c:pt>
                <c:pt idx="42">
                  <c:v>0.78</c:v>
                </c:pt>
                <c:pt idx="43">
                  <c:v>0.78</c:v>
                </c:pt>
                <c:pt idx="44">
                  <c:v>0.78</c:v>
                </c:pt>
                <c:pt idx="45">
                  <c:v>0.78</c:v>
                </c:pt>
                <c:pt idx="46">
                  <c:v>0.78</c:v>
                </c:pt>
                <c:pt idx="47">
                  <c:v>0.78</c:v>
                </c:pt>
                <c:pt idx="48">
                  <c:v>0.78</c:v>
                </c:pt>
                <c:pt idx="49">
                  <c:v>0.78</c:v>
                </c:pt>
                <c:pt idx="50">
                  <c:v>0.78</c:v>
                </c:pt>
                <c:pt idx="51">
                  <c:v>0.78</c:v>
                </c:pt>
                <c:pt idx="52">
                  <c:v>0.78</c:v>
                </c:pt>
                <c:pt idx="53">
                  <c:v>0.78</c:v>
                </c:pt>
                <c:pt idx="54">
                  <c:v>0.78</c:v>
                </c:pt>
                <c:pt idx="55">
                  <c:v>0.78</c:v>
                </c:pt>
                <c:pt idx="56">
                  <c:v>0.78</c:v>
                </c:pt>
                <c:pt idx="57">
                  <c:v>0.78</c:v>
                </c:pt>
                <c:pt idx="58">
                  <c:v>0.78</c:v>
                </c:pt>
                <c:pt idx="59">
                  <c:v>0.78</c:v>
                </c:pt>
              </c:numCache>
            </c:numRef>
          </c:val>
          <c:smooth val="1"/>
          <c:extLst>
            <c:ext xmlns:c16="http://schemas.microsoft.com/office/drawing/2014/chart" uri="{C3380CC4-5D6E-409C-BE32-E72D297353CC}">
              <c16:uniqueId val="{00000002-2477-427D-88A7-9883B4CD3707}"/>
            </c:ext>
          </c:extLst>
        </c:ser>
        <c:dLbls>
          <c:showLegendKey val="0"/>
          <c:showVal val="0"/>
          <c:showCatName val="0"/>
          <c:showSerName val="0"/>
          <c:showPercent val="0"/>
          <c:showBubbleSize val="0"/>
        </c:dLbls>
        <c:smooth val="0"/>
        <c:axId val="10"/>
        <c:axId val="100"/>
      </c:lineChart>
      <c:catAx>
        <c:axId val="10"/>
        <c:scaling>
          <c:orientation val="minMax"/>
        </c:scaling>
        <c:delete val="1"/>
        <c:axPos val="b"/>
        <c:majorGridlines>
          <c:spPr>
            <a:ln>
              <a:solidFill>
                <a:schemeClr val="accent1">
                  <a:alpha val="19000"/>
                </a:schemeClr>
              </a:solidFill>
            </a:ln>
          </c:spPr>
        </c:majorGridlines>
        <c:title>
          <c:tx>
            <c:rich>
              <a:bodyPr/>
              <a:lstStyle/>
              <a:p>
                <a:pPr>
                  <a:defRPr/>
                </a:pPr>
                <a:r>
                  <a:rPr lang="en-US"/>
                  <a:t>Week</a:t>
                </a:r>
              </a:p>
            </c:rich>
          </c:tx>
          <c:layout>
            <c:manualLayout>
              <c:xMode val="edge"/>
              <c:yMode val="edge"/>
              <c:x val="0.5411509336325333"/>
              <c:y val="0.95743270052869622"/>
            </c:manualLayout>
          </c:layout>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0"/>
        <c:axPos val="l"/>
        <c:majorGridlines>
          <c:spPr>
            <a:ln>
              <a:solidFill>
                <a:schemeClr val="accent1">
                  <a:alpha val="21000"/>
                </a:schemeClr>
              </a:solidFill>
            </a:ln>
          </c:spPr>
        </c:majorGridlines>
        <c:title>
          <c:tx>
            <c:rich>
              <a:bodyPr/>
              <a:lstStyle/>
              <a:p>
                <a:pPr>
                  <a:defRPr/>
                </a:pPr>
                <a:r>
                  <a:rPr lang="en-US"/>
                  <a:t>Health (0–1)</a:t>
                </a:r>
              </a:p>
            </c:rich>
          </c:tx>
          <c:overlay val="1"/>
        </c:title>
        <c:numFmt formatCode="General" sourceLinked="1"/>
        <c:majorTickMark val="none"/>
        <c:minorTickMark val="none"/>
        <c:tickLblPos val="nextTo"/>
        <c:crossAx val="10"/>
        <c:crosses val="autoZero"/>
        <c:crossBetween val="between"/>
        <c:majorUnit val="0.1"/>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400"/>
            </a:pPr>
            <a:r>
              <a:rPr lang="en-US" sz="1400"/>
              <a:t>Organ Damage (higher is worse)</a:t>
            </a:r>
          </a:p>
        </c:rich>
      </c:tx>
      <c:layout>
        <c:manualLayout>
          <c:xMode val="edge"/>
          <c:yMode val="edge"/>
          <c:x val="0.39603686475987798"/>
          <c:y val="0"/>
        </c:manualLayout>
      </c:layout>
      <c:overlay val="1"/>
    </c:title>
    <c:autoTitleDeleted val="0"/>
    <c:plotArea>
      <c:layout>
        <c:manualLayout>
          <c:layoutTarget val="inner"/>
          <c:xMode val="edge"/>
          <c:yMode val="edge"/>
          <c:x val="5.174074074074074E-2"/>
          <c:y val="6.1367683630894121E-2"/>
          <c:w val="0.93535984186038623"/>
          <c:h val="0.88689159003791851"/>
        </c:manualLayout>
      </c:layout>
      <c:lineChart>
        <c:grouping val="standard"/>
        <c:varyColors val="1"/>
        <c:ser>
          <c:idx val="0"/>
          <c:order val="0"/>
          <c:tx>
            <c:strRef>
              <c:f>Dashboard!$F$6</c:f>
              <c:strCache>
                <c:ptCount val="1"/>
                <c:pt idx="0">
                  <c:v>HEART dmg</c:v>
                </c:pt>
              </c:strCache>
            </c:strRef>
          </c:tx>
          <c:spPr>
            <a:ln>
              <a:prstDash val="solid"/>
            </a:ln>
          </c:spPr>
          <c:marker>
            <c:symbol val="none"/>
          </c:marker>
          <c:cat>
            <c:numRef>
              <c:f>Dashboard!$A$7:$A$66</c:f>
              <c:numCache>
                <c:formatCode>General</c:formatCode>
                <c:ptCount val="6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numCache>
            </c:numRef>
          </c:cat>
          <c:val>
            <c:numRef>
              <c:f>Dashboard!$F$7:$F$66</c:f>
              <c:numCache>
                <c:formatCode>General</c:formatCode>
                <c:ptCount val="60"/>
                <c:pt idx="0">
                  <c:v>0</c:v>
                </c:pt>
                <c:pt idx="1">
                  <c:v>0.11125733333333332</c:v>
                </c:pt>
                <c:pt idx="2">
                  <c:v>0.22251466666666664</c:v>
                </c:pt>
                <c:pt idx="3">
                  <c:v>0.37377199999999994</c:v>
                </c:pt>
                <c:pt idx="4">
                  <c:v>0.52502933333333324</c:v>
                </c:pt>
                <c:pt idx="5">
                  <c:v>0.67628666666666659</c:v>
                </c:pt>
                <c:pt idx="6">
                  <c:v>0.82754399999999995</c:v>
                </c:pt>
                <c:pt idx="7">
                  <c:v>0.9788013333333333</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smooth val="1"/>
          <c:extLst>
            <c:ext xmlns:c16="http://schemas.microsoft.com/office/drawing/2014/chart" uri="{C3380CC4-5D6E-409C-BE32-E72D297353CC}">
              <c16:uniqueId val="{00000000-0E3D-4639-8112-CD564F72CA11}"/>
            </c:ext>
          </c:extLst>
        </c:ser>
        <c:ser>
          <c:idx val="1"/>
          <c:order val="1"/>
          <c:tx>
            <c:strRef>
              <c:f>Dashboard!$G$6</c:f>
              <c:strCache>
                <c:ptCount val="1"/>
                <c:pt idx="0">
                  <c:v>IMMUNE dmg</c:v>
                </c:pt>
              </c:strCache>
            </c:strRef>
          </c:tx>
          <c:spPr>
            <a:ln>
              <a:prstDash val="solid"/>
            </a:ln>
          </c:spPr>
          <c:marker>
            <c:symbol val="none"/>
          </c:marker>
          <c:cat>
            <c:numRef>
              <c:f>Dashboard!$A$7:$A$66</c:f>
              <c:numCache>
                <c:formatCode>General</c:formatCode>
                <c:ptCount val="6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numCache>
            </c:numRef>
          </c:cat>
          <c:val>
            <c:numRef>
              <c:f>Dashboard!$G$7:$G$66</c:f>
              <c:numCache>
                <c:formatCode>General</c:formatCode>
                <c:ptCount val="60"/>
                <c:pt idx="0">
                  <c:v>0</c:v>
                </c:pt>
                <c:pt idx="1">
                  <c:v>0.10451466666666667</c:v>
                </c:pt>
                <c:pt idx="2">
                  <c:v>0.20902933333333332</c:v>
                </c:pt>
                <c:pt idx="3">
                  <c:v>0.35354399999999997</c:v>
                </c:pt>
                <c:pt idx="4">
                  <c:v>0.49805866666666665</c:v>
                </c:pt>
                <c:pt idx="5">
                  <c:v>0.64257333333333333</c:v>
                </c:pt>
                <c:pt idx="6">
                  <c:v>0.78708800000000001</c:v>
                </c:pt>
                <c:pt idx="7">
                  <c:v>0.93160266666666669</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smooth val="1"/>
          <c:extLst>
            <c:ext xmlns:c16="http://schemas.microsoft.com/office/drawing/2014/chart" uri="{C3380CC4-5D6E-409C-BE32-E72D297353CC}">
              <c16:uniqueId val="{00000001-0E3D-4639-8112-CD564F72CA11}"/>
            </c:ext>
          </c:extLst>
        </c:ser>
        <c:ser>
          <c:idx val="2"/>
          <c:order val="2"/>
          <c:tx>
            <c:strRef>
              <c:f>Dashboard!$H$6</c:f>
              <c:strCache>
                <c:ptCount val="1"/>
                <c:pt idx="0">
                  <c:v>HOSP dmg</c:v>
                </c:pt>
              </c:strCache>
            </c:strRef>
          </c:tx>
          <c:spPr>
            <a:ln>
              <a:prstDash val="solid"/>
            </a:ln>
          </c:spPr>
          <c:marker>
            <c:symbol val="none"/>
          </c:marker>
          <c:cat>
            <c:numRef>
              <c:f>Dashboard!$A$7:$A$66</c:f>
              <c:numCache>
                <c:formatCode>General</c:formatCode>
                <c:ptCount val="6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numCache>
            </c:numRef>
          </c:cat>
          <c:val>
            <c:numRef>
              <c:f>Dashboard!$H$7:$H$66</c:f>
              <c:numCache>
                <c:formatCode>General</c:formatCode>
                <c:ptCount val="60"/>
                <c:pt idx="0">
                  <c:v>0</c:v>
                </c:pt>
                <c:pt idx="1">
                  <c:v>9.1029333333333337E-2</c:v>
                </c:pt>
                <c:pt idx="2">
                  <c:v>0.18205866666666667</c:v>
                </c:pt>
                <c:pt idx="3">
                  <c:v>0.31308799999999998</c:v>
                </c:pt>
                <c:pt idx="4">
                  <c:v>0.44411733333333325</c:v>
                </c:pt>
                <c:pt idx="5">
                  <c:v>0.57514666666666669</c:v>
                </c:pt>
                <c:pt idx="6">
                  <c:v>0.70617600000000014</c:v>
                </c:pt>
                <c:pt idx="7">
                  <c:v>0.83720533333333358</c:v>
                </c:pt>
                <c:pt idx="8">
                  <c:v>0.96823466666666702</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smooth val="1"/>
          <c:extLst>
            <c:ext xmlns:c16="http://schemas.microsoft.com/office/drawing/2014/chart" uri="{C3380CC4-5D6E-409C-BE32-E72D297353CC}">
              <c16:uniqueId val="{00000002-0E3D-4639-8112-CD564F72CA11}"/>
            </c:ext>
          </c:extLst>
        </c:ser>
        <c:ser>
          <c:idx val="3"/>
          <c:order val="3"/>
          <c:tx>
            <c:strRef>
              <c:f>Dashboard!$I$6</c:f>
              <c:strCache>
                <c:ptCount val="1"/>
                <c:pt idx="0">
                  <c:v>UTIL dmg</c:v>
                </c:pt>
              </c:strCache>
            </c:strRef>
          </c:tx>
          <c:spPr>
            <a:ln>
              <a:prstDash val="solid"/>
            </a:ln>
          </c:spPr>
          <c:marker>
            <c:symbol val="none"/>
          </c:marker>
          <c:cat>
            <c:numRef>
              <c:f>Dashboard!$A$7:$A$66</c:f>
              <c:numCache>
                <c:formatCode>General</c:formatCode>
                <c:ptCount val="6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numCache>
            </c:numRef>
          </c:cat>
          <c:val>
            <c:numRef>
              <c:f>Dashboard!$I$7:$I$66</c:f>
              <c:numCache>
                <c:formatCode>General</c:formatCode>
                <c:ptCount val="60"/>
                <c:pt idx="0">
                  <c:v>0</c:v>
                </c:pt>
                <c:pt idx="1">
                  <c:v>0.10451466666666667</c:v>
                </c:pt>
                <c:pt idx="2">
                  <c:v>0.20902933333333332</c:v>
                </c:pt>
                <c:pt idx="3">
                  <c:v>0.35354399999999997</c:v>
                </c:pt>
                <c:pt idx="4">
                  <c:v>0.49805866666666665</c:v>
                </c:pt>
                <c:pt idx="5">
                  <c:v>0.64257333333333333</c:v>
                </c:pt>
                <c:pt idx="6">
                  <c:v>0.78708800000000001</c:v>
                </c:pt>
                <c:pt idx="7">
                  <c:v>0.93160266666666669</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smooth val="1"/>
          <c:extLst>
            <c:ext xmlns:c16="http://schemas.microsoft.com/office/drawing/2014/chart" uri="{C3380CC4-5D6E-409C-BE32-E72D297353CC}">
              <c16:uniqueId val="{00000003-0E3D-4639-8112-CD564F72CA11}"/>
            </c:ext>
          </c:extLst>
        </c:ser>
        <c:ser>
          <c:idx val="4"/>
          <c:order val="4"/>
          <c:tx>
            <c:strRef>
              <c:f>Dashboard!$J$6</c:f>
              <c:strCache>
                <c:ptCount val="1"/>
                <c:pt idx="0">
                  <c:v>TRUST dmg</c:v>
                </c:pt>
              </c:strCache>
            </c:strRef>
          </c:tx>
          <c:spPr>
            <a:ln>
              <a:prstDash val="solid"/>
            </a:ln>
          </c:spPr>
          <c:marker>
            <c:symbol val="none"/>
          </c:marker>
          <c:cat>
            <c:numRef>
              <c:f>Dashboard!$A$7:$A$66</c:f>
              <c:numCache>
                <c:formatCode>General</c:formatCode>
                <c:ptCount val="6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numCache>
            </c:numRef>
          </c:cat>
          <c:val>
            <c:numRef>
              <c:f>Dashboard!$J$7:$J$66</c:f>
              <c:numCache>
                <c:formatCode>General</c:formatCode>
                <c:ptCount val="60"/>
                <c:pt idx="0">
                  <c:v>0</c:v>
                </c:pt>
                <c:pt idx="1">
                  <c:v>4.3830666666666657E-2</c:v>
                </c:pt>
                <c:pt idx="2">
                  <c:v>8.7661333333333313E-2</c:v>
                </c:pt>
                <c:pt idx="3">
                  <c:v>0.17149199999999998</c:v>
                </c:pt>
                <c:pt idx="4">
                  <c:v>0.25532266666666659</c:v>
                </c:pt>
                <c:pt idx="5">
                  <c:v>0.3391533333333332</c:v>
                </c:pt>
                <c:pt idx="6">
                  <c:v>0.4229839999999998</c:v>
                </c:pt>
                <c:pt idx="7">
                  <c:v>0.50681466666666641</c:v>
                </c:pt>
                <c:pt idx="8">
                  <c:v>0.59064533333333313</c:v>
                </c:pt>
                <c:pt idx="9">
                  <c:v>0.67447599999999985</c:v>
                </c:pt>
                <c:pt idx="10">
                  <c:v>0.75830666666666657</c:v>
                </c:pt>
                <c:pt idx="11">
                  <c:v>0.84213733333333329</c:v>
                </c:pt>
                <c:pt idx="12">
                  <c:v>0.92596800000000001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numCache>
            </c:numRef>
          </c:val>
          <c:smooth val="1"/>
          <c:extLst>
            <c:ext xmlns:c16="http://schemas.microsoft.com/office/drawing/2014/chart" uri="{C3380CC4-5D6E-409C-BE32-E72D297353CC}">
              <c16:uniqueId val="{00000004-0E3D-4639-8112-CD564F72CA11}"/>
            </c:ext>
          </c:extLst>
        </c:ser>
        <c:dLbls>
          <c:showLegendKey val="0"/>
          <c:showVal val="0"/>
          <c:showCatName val="0"/>
          <c:showSerName val="0"/>
          <c:showPercent val="0"/>
          <c:showBubbleSize val="0"/>
        </c:dLbls>
        <c:smooth val="0"/>
        <c:axId val="10"/>
        <c:axId val="100"/>
      </c:lineChart>
      <c:catAx>
        <c:axId val="10"/>
        <c:scaling>
          <c:orientation val="minMax"/>
        </c:scaling>
        <c:delete val="1"/>
        <c:axPos val="b"/>
        <c:majorGridlines>
          <c:spPr>
            <a:ln>
              <a:solidFill>
                <a:schemeClr val="accent1">
                  <a:alpha val="15000"/>
                </a:schemeClr>
              </a:solidFill>
            </a:ln>
          </c:spPr>
        </c:majorGridlines>
        <c:title>
          <c:tx>
            <c:rich>
              <a:bodyPr/>
              <a:lstStyle/>
              <a:p>
                <a:pPr>
                  <a:defRPr/>
                </a:pPr>
                <a:r>
                  <a:rPr lang="en-US"/>
                  <a:t>Week</a:t>
                </a:r>
              </a:p>
            </c:rich>
          </c:tx>
          <c:layout>
            <c:manualLayout>
              <c:xMode val="edge"/>
              <c:yMode val="edge"/>
              <c:x val="0.52690037344675733"/>
              <c:y val="0.94872046704147484"/>
            </c:manualLayout>
          </c:layout>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0"/>
        <c:axPos val="l"/>
        <c:majorGridlines>
          <c:spPr>
            <a:ln>
              <a:solidFill>
                <a:schemeClr val="accent1">
                  <a:alpha val="20000"/>
                </a:schemeClr>
              </a:solidFill>
            </a:ln>
          </c:spPr>
        </c:majorGridlines>
        <c:title>
          <c:tx>
            <c:rich>
              <a:bodyPr/>
              <a:lstStyle/>
              <a:p>
                <a:pPr>
                  <a:defRPr/>
                </a:pPr>
                <a:r>
                  <a:rPr lang="en-US"/>
                  <a:t>Damage (0–1)</a:t>
                </a:r>
              </a:p>
            </c:rich>
          </c:tx>
          <c:overlay val="1"/>
        </c:title>
        <c:numFmt formatCode="General" sourceLinked="1"/>
        <c:majorTickMark val="none"/>
        <c:minorTickMark val="none"/>
        <c:tickLblPos val="nextTo"/>
        <c:crossAx val="10"/>
        <c:crosses val="autoZero"/>
        <c:crossBetween val="between"/>
        <c:majorUnit val="0.1"/>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350354</xdr:colOff>
      <xdr:row>7</xdr:row>
      <xdr:rowOff>138733</xdr:rowOff>
    </xdr:from>
    <xdr:ext cx="10591801" cy="4705349"/>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159856</xdr:colOff>
      <xdr:row>32</xdr:row>
      <xdr:rowOff>91109</xdr:rowOff>
    </xdr:from>
    <xdr:ext cx="10829924" cy="4520712"/>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persons/person.xml><?xml version="1.0" encoding="utf-8"?>
<personList xmlns="http://schemas.microsoft.com/office/spreadsheetml/2018/threadedcomments" xmlns:x="http://schemas.openxmlformats.org/spreadsheetml/2006/main">
  <person displayName="Evan Fraser" id="{0E2E92EE-2A3A-4B51-A69C-24C9823F1FB1}" userId="d9c2e0d9c62c0405"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20" dT="2026-02-13T01:12:28.15" personId="{0E2E92EE-2A3A-4B51-A69C-24C9823F1FB1}" id="{CE125C6A-5931-49F1-88CA-3B1C33D3AE90}">
    <text xml:space="preserve">Health in the Global Health Over Time chart represents the overall functional integrity of the nation, scaled from 0 to 1.
It is a composite measure that aggregates:
Baseline vitals (food, water, air, trust)
The current condition of key subsystems (logistics, immune system, hospitals, utilities, and trust damage)
The effects of stress, autonomy, and recovery dynamics
A value near 1 indicates strong systemic stability and low organ damage.
A value near 0 indicates widespread subsystem failure and severe structural breakdown.
Health does not represent a single variable—it reflects the integrated state of the entire national “body.” When multiple organs accumulate damage or stress overwhelms recovery, the Health score declines accordingly.
</text>
  </threadedComment>
  <threadedComment ref="K21" dT="2026-02-13T01:10:59.73" personId="{0E2E92EE-2A3A-4B51-A69C-24C9823F1FB1}" id="{9A60A5C7-3CE6-4C84-99FE-094C067AC841}">
    <text xml:space="preserve">The Collapse Threshold (red line) represents the critical health boundary below which the system can no longer sustain stable national function.
In this simulation, if Global Health remains below the red line for a specified number of consecutive weeks (Collapse duration N), the system is formally considered to have collapsed. This prevents momentary dips from triggering failure—collapse only occurs when deterioration is sustained.
Conceptually:
Above the red line → The system is structurally viable.
Below the red line (briefly) → Severe instability, but potentially recoverable.
Below the red line for N consecutive ticks → Structural failure is triggered.
In the model, collapse does not mean immediate disappearance; it represents systemic breakdown across interconnected organs (logistics, prevention, infrastructure, trust), where recovery mechanisms are no longer sufficient to restore stability.
</text>
  </threadedComment>
  <threadedComment ref="K22" dT="2026-02-13T01:08:53.97" personId="{0E2E92EE-2A3A-4B51-A69C-24C9823F1FB1}" id="{787C998A-8667-4AB9-8159-33A5C3876D64}">
    <text xml:space="preserve">The Autonomy Trigger (green line) represents the health level at which the system enters emergency self-preservation mode.
In this simulation, when Global Health falls below the autonomy trigger value, the system activates Autonomy in the following week. Autonomy simulates emergency measures—such as rationing, centralized control, or crisis governance—that attempt to stabilize the system under stress. However, while autonomy may slow immediate collapse, it also introduces additional strain (via the autonomy fatigue rate), reflecting the long-term cost of operating in emergency mode.
Conceptually:
Above the green line → Normal governance and recovery mechanisms operate.
Below the green line → The nation switches into emergency survival behavior.
Prolonged time below this line increases systemic fatigue and damage.
</text>
  </threadedComment>
</ThreadedComment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showGridLines="0" zoomScale="190" zoomScaleNormal="190" workbookViewId="0">
      <selection sqref="A1:XFD1048576"/>
    </sheetView>
    <sheetView workbookViewId="1">
      <selection activeCell="A6" sqref="A6:A9"/>
    </sheetView>
  </sheetViews>
  <sheetFormatPr defaultRowHeight="15" x14ac:dyDescent="0.25"/>
  <cols>
    <col min="1" max="1" width="120" style="4" customWidth="1"/>
    <col min="2" max="16384" width="9.140625" style="4"/>
  </cols>
  <sheetData>
    <row r="1" spans="1:1" ht="20.100000000000001" customHeight="1" x14ac:dyDescent="0.25">
      <c r="A1" s="13" t="s">
        <v>0</v>
      </c>
    </row>
    <row r="2" spans="1:1" ht="20.100000000000001" customHeight="1" x14ac:dyDescent="0.25">
      <c r="A2" s="8" t="s">
        <v>1</v>
      </c>
    </row>
    <row r="3" spans="1:1" ht="20.100000000000001" customHeight="1" x14ac:dyDescent="0.25">
      <c r="A3" s="8" t="s">
        <v>2</v>
      </c>
    </row>
    <row r="4" spans="1:1" ht="20.100000000000001" customHeight="1" x14ac:dyDescent="0.25">
      <c r="A4" s="8"/>
    </row>
    <row r="5" spans="1:1" ht="20.100000000000001" customHeight="1" x14ac:dyDescent="0.25">
      <c r="A5" s="8" t="s">
        <v>3</v>
      </c>
    </row>
    <row r="6" spans="1:1" ht="20.100000000000001" customHeight="1" x14ac:dyDescent="0.25">
      <c r="A6" s="8" t="s">
        <v>4</v>
      </c>
    </row>
    <row r="7" spans="1:1" ht="20.100000000000001" customHeight="1" x14ac:dyDescent="0.25">
      <c r="A7" s="8" t="s">
        <v>5</v>
      </c>
    </row>
    <row r="8" spans="1:1" ht="20.100000000000001" customHeight="1" x14ac:dyDescent="0.25">
      <c r="A8" s="8" t="s">
        <v>6</v>
      </c>
    </row>
    <row r="9" spans="1:1" ht="20.100000000000001" customHeight="1" x14ac:dyDescent="0.25">
      <c r="A9" s="8" t="s">
        <v>7</v>
      </c>
    </row>
    <row r="10" spans="1:1" ht="20.100000000000001" customHeight="1" x14ac:dyDescent="0.25">
      <c r="A10" s="8"/>
    </row>
    <row r="11" spans="1:1" ht="20.100000000000001" customHeight="1" x14ac:dyDescent="0.25">
      <c r="A11" s="8" t="s">
        <v>8</v>
      </c>
    </row>
    <row r="12" spans="1:1" ht="20.100000000000001" customHeight="1" x14ac:dyDescent="0.25">
      <c r="A12" s="8" t="s">
        <v>9</v>
      </c>
    </row>
    <row r="13" spans="1:1" ht="20.100000000000001" customHeight="1" x14ac:dyDescent="0.25">
      <c r="A13" s="8" t="s">
        <v>10</v>
      </c>
    </row>
    <row r="14" spans="1:1" ht="20.100000000000001" customHeight="1" x14ac:dyDescent="0.25">
      <c r="A14" s="8" t="s">
        <v>11</v>
      </c>
    </row>
    <row r="15" spans="1:1" ht="20.100000000000001" customHeight="1" x14ac:dyDescent="0.25"/>
    <row r="16" spans="1:1" ht="20.100000000000001" customHeight="1" x14ac:dyDescent="0.25"/>
    <row r="17" ht="20.100000000000001" customHeight="1" x14ac:dyDescent="0.25"/>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
  <sheetViews>
    <sheetView showGridLines="0" zoomScale="160" zoomScaleNormal="160" workbookViewId="0">
      <pane ySplit="4" topLeftCell="A6" activePane="bottomLeft" state="frozen"/>
      <selection pane="bottomLeft" activeCell="D11" sqref="D11"/>
    </sheetView>
    <sheetView tabSelected="1" zoomScale="145" zoomScaleNormal="145" workbookViewId="1">
      <selection activeCell="B12" sqref="B12"/>
    </sheetView>
  </sheetViews>
  <sheetFormatPr defaultRowHeight="15" x14ac:dyDescent="0.25"/>
  <cols>
    <col min="1" max="1" width="30" style="4" customWidth="1"/>
    <col min="2" max="2" width="12" style="4" customWidth="1"/>
    <col min="3" max="3" width="2" style="4" customWidth="1"/>
    <col min="4" max="4" width="72" style="4" customWidth="1"/>
    <col min="5" max="5" width="9.140625" style="4"/>
    <col min="6" max="6" width="6" style="4" customWidth="1"/>
    <col min="7" max="7" width="10" style="4" customWidth="1"/>
    <col min="8" max="8" width="18" style="4" customWidth="1"/>
    <col min="9" max="16384" width="9.140625" style="4"/>
  </cols>
  <sheetData>
    <row r="1" spans="1:4" x14ac:dyDescent="0.25">
      <c r="A1" s="7" t="s">
        <v>12</v>
      </c>
      <c r="B1" s="7"/>
      <c r="C1" s="7"/>
      <c r="D1" s="7"/>
    </row>
    <row r="2" spans="1:4" ht="30" x14ac:dyDescent="0.25">
      <c r="A2" s="8" t="s">
        <v>13</v>
      </c>
      <c r="B2" s="6" t="s">
        <v>86</v>
      </c>
      <c r="C2" s="8"/>
      <c r="D2" s="8" t="s">
        <v>14</v>
      </c>
    </row>
    <row r="4" spans="1:4" x14ac:dyDescent="0.25">
      <c r="A4" s="7" t="s">
        <v>15</v>
      </c>
      <c r="B4" s="7"/>
      <c r="C4" s="7"/>
      <c r="D4" s="7"/>
    </row>
    <row r="5" spans="1:4" ht="30" x14ac:dyDescent="0.25">
      <c r="A5" s="8" t="s">
        <v>16</v>
      </c>
      <c r="B5" s="10">
        <v>60</v>
      </c>
      <c r="C5" s="8"/>
      <c r="D5" s="8" t="s">
        <v>17</v>
      </c>
    </row>
    <row r="6" spans="1:4" ht="30" x14ac:dyDescent="0.25">
      <c r="A6" s="8" t="s">
        <v>18</v>
      </c>
      <c r="B6" s="10">
        <v>4</v>
      </c>
      <c r="C6" s="8"/>
      <c r="D6" s="8" t="s">
        <v>19</v>
      </c>
    </row>
    <row r="7" spans="1:4" x14ac:dyDescent="0.25">
      <c r="A7" s="8" t="s">
        <v>20</v>
      </c>
      <c r="B7" s="10">
        <v>0.85</v>
      </c>
      <c r="C7" s="8"/>
      <c r="D7" s="8" t="s">
        <v>21</v>
      </c>
    </row>
    <row r="8" spans="1:4" x14ac:dyDescent="0.25">
      <c r="A8" s="8" t="s">
        <v>22</v>
      </c>
      <c r="B8" s="10">
        <v>6</v>
      </c>
      <c r="C8" s="8"/>
      <c r="D8" s="8" t="s">
        <v>23</v>
      </c>
    </row>
    <row r="9" spans="1:4" x14ac:dyDescent="0.25">
      <c r="A9" s="8" t="s">
        <v>24</v>
      </c>
      <c r="B9" s="10">
        <v>0.78</v>
      </c>
      <c r="C9" s="8"/>
      <c r="D9" s="8" t="s">
        <v>25</v>
      </c>
    </row>
    <row r="10" spans="1:4" x14ac:dyDescent="0.25">
      <c r="A10" s="8" t="s">
        <v>26</v>
      </c>
      <c r="B10" s="10">
        <v>0.04</v>
      </c>
      <c r="C10" s="8"/>
      <c r="D10" s="8" t="s">
        <v>27</v>
      </c>
    </row>
    <row r="11" spans="1:4" x14ac:dyDescent="0.25">
      <c r="A11" s="8" t="s">
        <v>28</v>
      </c>
      <c r="B11" s="10">
        <v>0.02</v>
      </c>
      <c r="C11" s="8"/>
      <c r="D11" s="8" t="s">
        <v>29</v>
      </c>
    </row>
    <row r="12" spans="1:4" x14ac:dyDescent="0.25">
      <c r="A12" s="8" t="s">
        <v>30</v>
      </c>
      <c r="B12" s="10">
        <v>0.75</v>
      </c>
      <c r="C12" s="8"/>
      <c r="D12" s="8" t="s">
        <v>31</v>
      </c>
    </row>
    <row r="13" spans="1:4" x14ac:dyDescent="0.25">
      <c r="A13" s="8"/>
      <c r="B13" s="6"/>
      <c r="C13" s="8"/>
      <c r="D13" s="8"/>
    </row>
    <row r="14" spans="1:4" x14ac:dyDescent="0.25">
      <c r="A14" s="14" t="s">
        <v>32</v>
      </c>
      <c r="B14" s="7"/>
      <c r="C14" s="7"/>
      <c r="D14" s="7"/>
    </row>
    <row r="15" spans="1:4" x14ac:dyDescent="0.25">
      <c r="A15" s="8" t="s">
        <v>33</v>
      </c>
      <c r="B15" s="10">
        <v>0.78</v>
      </c>
      <c r="C15" s="8"/>
      <c r="D15" s="8" t="s">
        <v>34</v>
      </c>
    </row>
    <row r="16" spans="1:4" x14ac:dyDescent="0.25">
      <c r="A16" s="8" t="s">
        <v>35</v>
      </c>
      <c r="B16" s="10">
        <v>0.78</v>
      </c>
      <c r="C16" s="8"/>
      <c r="D16" s="8" t="s">
        <v>36</v>
      </c>
    </row>
    <row r="17" spans="1:8" x14ac:dyDescent="0.25">
      <c r="A17" s="8" t="s">
        <v>37</v>
      </c>
      <c r="B17" s="10">
        <v>0.85</v>
      </c>
      <c r="C17" s="8"/>
      <c r="D17" s="8" t="s">
        <v>38</v>
      </c>
    </row>
    <row r="18" spans="1:8" x14ac:dyDescent="0.25">
      <c r="A18" s="8" t="s">
        <v>39</v>
      </c>
      <c r="B18" s="10">
        <v>0.45</v>
      </c>
      <c r="C18" s="8"/>
      <c r="D18" s="8" t="s">
        <v>40</v>
      </c>
    </row>
    <row r="20" spans="1:8" x14ac:dyDescent="0.25">
      <c r="A20" s="14" t="s">
        <v>41</v>
      </c>
      <c r="B20" s="7"/>
      <c r="C20" s="7"/>
      <c r="D20" s="7"/>
    </row>
    <row r="21" spans="1:8" x14ac:dyDescent="0.25">
      <c r="A21" s="8" t="s">
        <v>42</v>
      </c>
      <c r="B21" s="10">
        <v>0.1</v>
      </c>
      <c r="C21" s="8"/>
      <c r="D21" s="8" t="s">
        <v>43</v>
      </c>
      <c r="F21" s="5" t="s">
        <v>44</v>
      </c>
      <c r="G21" s="6">
        <f>SUM(B21:B25)</f>
        <v>1</v>
      </c>
      <c r="H21" s="5" t="s">
        <v>45</v>
      </c>
    </row>
    <row r="22" spans="1:8" x14ac:dyDescent="0.25">
      <c r="A22" s="8" t="s">
        <v>46</v>
      </c>
      <c r="B22" s="10">
        <v>0.2</v>
      </c>
      <c r="C22" s="8"/>
      <c r="D22" s="8" t="s">
        <v>47</v>
      </c>
    </row>
    <row r="23" spans="1:8" x14ac:dyDescent="0.25">
      <c r="A23" s="8" t="s">
        <v>48</v>
      </c>
      <c r="B23" s="10">
        <v>0.1</v>
      </c>
      <c r="C23" s="8"/>
      <c r="D23" s="8" t="s">
        <v>49</v>
      </c>
    </row>
    <row r="24" spans="1:8" x14ac:dyDescent="0.25">
      <c r="A24" s="8" t="s">
        <v>50</v>
      </c>
      <c r="B24" s="10">
        <v>0.05</v>
      </c>
      <c r="C24" s="8"/>
      <c r="D24" s="8" t="s">
        <v>51</v>
      </c>
    </row>
    <row r="25" spans="1:8" x14ac:dyDescent="0.25">
      <c r="A25" s="8" t="s">
        <v>52</v>
      </c>
      <c r="B25" s="10">
        <v>0.55000000000000004</v>
      </c>
      <c r="C25" s="8"/>
      <c r="D25" s="8" t="s">
        <v>53</v>
      </c>
    </row>
    <row r="27" spans="1:8" ht="30" x14ac:dyDescent="0.25">
      <c r="A27" s="8" t="s">
        <v>54</v>
      </c>
      <c r="B27" s="10">
        <v>0.55000000000000004</v>
      </c>
      <c r="C27" s="8"/>
      <c r="D27" s="8" t="s">
        <v>55</v>
      </c>
    </row>
  </sheetData>
  <dataValidations count="1">
    <dataValidation type="list" sqref="B2" xr:uid="{00000000-0002-0000-0100-000000000000}">
      <formula1>"Baseline,Pandemic,Heatwave,Supply Shock,Compound Crisis"</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60"/>
  <sheetViews>
    <sheetView showGridLines="0" zoomScale="280" zoomScaleNormal="280" workbookViewId="0">
      <pane ySplit="4" topLeftCell="A5" activePane="bottomLeft" state="frozen"/>
      <selection pane="bottomLeft" activeCell="B17" sqref="B17"/>
    </sheetView>
    <sheetView workbookViewId="1"/>
  </sheetViews>
  <sheetFormatPr defaultRowHeight="15" x14ac:dyDescent="0.25"/>
  <cols>
    <col min="1" max="1" width="10" customWidth="1"/>
    <col min="2" max="2" width="22" customWidth="1"/>
    <col min="3" max="3" width="46" customWidth="1"/>
    <col min="4" max="20" width="9.140625" style="4"/>
  </cols>
  <sheetData>
    <row r="1" spans="1:3" x14ac:dyDescent="0.25">
      <c r="A1" s="11" t="s">
        <v>56</v>
      </c>
      <c r="B1" s="2"/>
      <c r="C1" s="2"/>
    </row>
    <row r="2" spans="1:3" x14ac:dyDescent="0.25">
      <c r="A2" s="12" t="s">
        <v>57</v>
      </c>
      <c r="B2" s="1"/>
      <c r="C2" s="1"/>
    </row>
    <row r="3" spans="1:3" x14ac:dyDescent="0.25">
      <c r="A3" s="4"/>
      <c r="B3" s="4"/>
      <c r="C3" s="4"/>
    </row>
    <row r="4" spans="1:3" x14ac:dyDescent="0.25">
      <c r="A4" s="3" t="s">
        <v>58</v>
      </c>
      <c r="B4" s="3" t="s">
        <v>59</v>
      </c>
      <c r="C4" s="3" t="s">
        <v>60</v>
      </c>
    </row>
    <row r="5" spans="1:3" x14ac:dyDescent="0.25">
      <c r="A5" s="1">
        <v>6</v>
      </c>
      <c r="B5" s="1">
        <v>0.8</v>
      </c>
      <c r="C5" s="1" t="s">
        <v>61</v>
      </c>
    </row>
    <row r="6" spans="1:3" x14ac:dyDescent="0.25">
      <c r="A6" s="1">
        <v>10</v>
      </c>
      <c r="B6" s="1">
        <v>0.6</v>
      </c>
      <c r="C6" s="1" t="s">
        <v>62</v>
      </c>
    </row>
    <row r="7" spans="1:3" x14ac:dyDescent="0.25">
      <c r="A7" s="1">
        <v>16</v>
      </c>
      <c r="B7" s="1">
        <v>0.4</v>
      </c>
      <c r="C7" s="1" t="s">
        <v>63</v>
      </c>
    </row>
    <row r="8" spans="1:3" x14ac:dyDescent="0.25">
      <c r="A8" s="1">
        <v>24</v>
      </c>
      <c r="B8" s="1">
        <v>0.5</v>
      </c>
      <c r="C8" s="1" t="s">
        <v>64</v>
      </c>
    </row>
    <row r="9" spans="1:3" x14ac:dyDescent="0.25">
      <c r="A9" s="1">
        <v>34</v>
      </c>
      <c r="B9" s="1">
        <v>0.3</v>
      </c>
      <c r="C9" s="1" t="s">
        <v>65</v>
      </c>
    </row>
    <row r="10" spans="1:3" x14ac:dyDescent="0.25">
      <c r="A10" s="1"/>
      <c r="B10" s="1"/>
      <c r="C10" s="1"/>
    </row>
    <row r="11" spans="1:3" x14ac:dyDescent="0.25">
      <c r="A11" s="1"/>
      <c r="B11" s="1"/>
      <c r="C11" s="1"/>
    </row>
    <row r="12" spans="1:3" x14ac:dyDescent="0.25">
      <c r="A12" s="1"/>
      <c r="B12" s="1"/>
      <c r="C12" s="1"/>
    </row>
    <row r="13" spans="1:3" x14ac:dyDescent="0.25">
      <c r="A13" s="1"/>
      <c r="B13" s="1"/>
      <c r="C13" s="1"/>
    </row>
    <row r="14" spans="1:3" x14ac:dyDescent="0.25">
      <c r="A14" s="1"/>
      <c r="B14" s="1"/>
      <c r="C14" s="1"/>
    </row>
    <row r="15" spans="1:3" x14ac:dyDescent="0.25">
      <c r="A15" s="1"/>
      <c r="B15" s="1"/>
      <c r="C15" s="1"/>
    </row>
    <row r="16" spans="1:3" x14ac:dyDescent="0.25">
      <c r="A16" s="1"/>
      <c r="B16" s="1"/>
      <c r="C16" s="1"/>
    </row>
    <row r="17" spans="1:3" x14ac:dyDescent="0.25">
      <c r="A17" s="1"/>
      <c r="B17" s="1"/>
      <c r="C17" s="1"/>
    </row>
    <row r="18" spans="1:3" x14ac:dyDescent="0.25">
      <c r="A18" s="1"/>
      <c r="B18" s="1"/>
      <c r="C18" s="1"/>
    </row>
    <row r="19" spans="1:3" x14ac:dyDescent="0.25">
      <c r="A19" s="1"/>
      <c r="B19" s="1"/>
      <c r="C19" s="1"/>
    </row>
    <row r="20" spans="1:3" x14ac:dyDescent="0.25">
      <c r="A20" s="1"/>
      <c r="B20" s="1"/>
      <c r="C20" s="1"/>
    </row>
    <row r="21" spans="1:3" x14ac:dyDescent="0.25">
      <c r="A21" s="1"/>
      <c r="B21" s="1"/>
      <c r="C21" s="1"/>
    </row>
    <row r="22" spans="1:3" x14ac:dyDescent="0.25">
      <c r="A22" s="1"/>
      <c r="B22" s="1"/>
      <c r="C22" s="1"/>
    </row>
    <row r="23" spans="1:3" x14ac:dyDescent="0.25">
      <c r="A23" s="1"/>
      <c r="B23" s="1"/>
      <c r="C23" s="1"/>
    </row>
    <row r="24" spans="1:3" x14ac:dyDescent="0.25">
      <c r="A24" s="1"/>
      <c r="B24" s="1"/>
      <c r="C24" s="1"/>
    </row>
    <row r="25" spans="1:3" x14ac:dyDescent="0.25">
      <c r="A25" s="1"/>
      <c r="B25" s="1"/>
      <c r="C25" s="1"/>
    </row>
    <row r="26" spans="1:3" x14ac:dyDescent="0.25">
      <c r="A26" s="1"/>
      <c r="B26" s="1"/>
      <c r="C26" s="1"/>
    </row>
    <row r="27" spans="1:3" x14ac:dyDescent="0.25">
      <c r="A27" s="1"/>
      <c r="B27" s="1"/>
      <c r="C27" s="1"/>
    </row>
    <row r="28" spans="1:3" x14ac:dyDescent="0.25">
      <c r="A28" s="1"/>
      <c r="B28" s="1"/>
      <c r="C28" s="1"/>
    </row>
    <row r="29" spans="1:3" x14ac:dyDescent="0.25">
      <c r="A29" s="1"/>
      <c r="B29" s="1"/>
      <c r="C29" s="1"/>
    </row>
    <row r="30" spans="1:3" x14ac:dyDescent="0.25">
      <c r="A30" s="1"/>
      <c r="B30" s="1"/>
      <c r="C30" s="1"/>
    </row>
    <row r="31" spans="1:3" x14ac:dyDescent="0.25">
      <c r="A31" s="1"/>
      <c r="B31" s="1"/>
      <c r="C31" s="1"/>
    </row>
    <row r="32" spans="1:3" x14ac:dyDescent="0.25">
      <c r="A32" s="1"/>
      <c r="B32" s="1"/>
      <c r="C32" s="1"/>
    </row>
    <row r="33" spans="1:3" x14ac:dyDescent="0.25">
      <c r="A33" s="1"/>
      <c r="B33" s="1"/>
      <c r="C33" s="1"/>
    </row>
    <row r="34" spans="1:3" x14ac:dyDescent="0.25">
      <c r="A34" s="1"/>
      <c r="B34" s="1"/>
      <c r="C34" s="1"/>
    </row>
    <row r="35" spans="1:3" x14ac:dyDescent="0.25">
      <c r="A35" s="1"/>
      <c r="B35" s="1"/>
      <c r="C35" s="1"/>
    </row>
    <row r="36" spans="1:3" x14ac:dyDescent="0.25">
      <c r="A36" s="1"/>
      <c r="B36" s="1"/>
      <c r="C36" s="1"/>
    </row>
    <row r="37" spans="1:3" x14ac:dyDescent="0.25">
      <c r="A37" s="1"/>
      <c r="B37" s="1"/>
      <c r="C37" s="1"/>
    </row>
    <row r="38" spans="1:3" x14ac:dyDescent="0.25">
      <c r="A38" s="1"/>
      <c r="B38" s="1"/>
      <c r="C38" s="1"/>
    </row>
    <row r="39" spans="1:3" x14ac:dyDescent="0.25">
      <c r="A39" s="1"/>
      <c r="B39" s="1"/>
      <c r="C39" s="1"/>
    </row>
    <row r="40" spans="1:3" x14ac:dyDescent="0.25">
      <c r="A40" s="1"/>
      <c r="B40" s="1"/>
      <c r="C40" s="1"/>
    </row>
    <row r="41" spans="1:3" x14ac:dyDescent="0.25">
      <c r="A41" s="1"/>
      <c r="B41" s="1"/>
      <c r="C41" s="1"/>
    </row>
    <row r="42" spans="1:3" x14ac:dyDescent="0.25">
      <c r="A42" s="1"/>
      <c r="B42" s="1"/>
      <c r="C42" s="1"/>
    </row>
    <row r="43" spans="1:3" x14ac:dyDescent="0.25">
      <c r="A43" s="1"/>
      <c r="B43" s="1"/>
      <c r="C43" s="1"/>
    </row>
    <row r="44" spans="1:3" x14ac:dyDescent="0.25">
      <c r="A44" s="1"/>
      <c r="B44" s="1"/>
      <c r="C44" s="1"/>
    </row>
    <row r="45" spans="1:3" x14ac:dyDescent="0.25">
      <c r="A45" s="1"/>
      <c r="B45" s="1"/>
      <c r="C45" s="1"/>
    </row>
    <row r="46" spans="1:3" x14ac:dyDescent="0.25">
      <c r="A46" s="1"/>
      <c r="B46" s="1"/>
      <c r="C46" s="1"/>
    </row>
    <row r="47" spans="1:3" x14ac:dyDescent="0.25">
      <c r="A47" s="1"/>
      <c r="B47" s="1"/>
      <c r="C47" s="1"/>
    </row>
    <row r="48" spans="1:3" x14ac:dyDescent="0.25">
      <c r="A48" s="1"/>
      <c r="B48" s="1"/>
      <c r="C48" s="1"/>
    </row>
    <row r="49" spans="1:3" x14ac:dyDescent="0.25">
      <c r="A49" s="1"/>
      <c r="B49" s="1"/>
      <c r="C49" s="1"/>
    </row>
    <row r="50" spans="1:3" x14ac:dyDescent="0.25">
      <c r="A50" s="1"/>
      <c r="B50" s="1"/>
      <c r="C50" s="1"/>
    </row>
    <row r="51" spans="1:3" x14ac:dyDescent="0.25">
      <c r="A51" s="1"/>
      <c r="B51" s="1"/>
      <c r="C51" s="1"/>
    </row>
    <row r="52" spans="1:3" x14ac:dyDescent="0.25">
      <c r="A52" s="1"/>
      <c r="B52" s="1"/>
      <c r="C52" s="1"/>
    </row>
    <row r="53" spans="1:3" x14ac:dyDescent="0.25">
      <c r="A53" s="1"/>
      <c r="B53" s="1"/>
      <c r="C53" s="1"/>
    </row>
    <row r="54" spans="1:3" x14ac:dyDescent="0.25">
      <c r="A54" s="1"/>
      <c r="B54" s="1"/>
      <c r="C54" s="1"/>
    </row>
    <row r="55" spans="1:3" x14ac:dyDescent="0.25">
      <c r="A55" s="1"/>
      <c r="B55" s="1"/>
      <c r="C55" s="1"/>
    </row>
    <row r="56" spans="1:3" x14ac:dyDescent="0.25">
      <c r="A56" s="1"/>
      <c r="B56" s="1"/>
      <c r="C56" s="1"/>
    </row>
    <row r="57" spans="1:3" x14ac:dyDescent="0.25">
      <c r="A57" s="1"/>
      <c r="B57" s="1"/>
      <c r="C57" s="1"/>
    </row>
    <row r="58" spans="1:3" x14ac:dyDescent="0.25">
      <c r="A58" s="1"/>
      <c r="B58" s="1"/>
      <c r="C58" s="1"/>
    </row>
    <row r="59" spans="1:3" x14ac:dyDescent="0.25">
      <c r="A59" s="1"/>
      <c r="B59" s="1"/>
      <c r="C59" s="1"/>
    </row>
    <row r="60" spans="1:3" x14ac:dyDescent="0.25">
      <c r="A60" s="1"/>
      <c r="B60" s="1"/>
      <c r="C60" s="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64"/>
  <sheetViews>
    <sheetView showGridLines="0" zoomScale="115" zoomScaleNormal="115" workbookViewId="0">
      <pane ySplit="4" topLeftCell="A5" activePane="bottomLeft" state="frozen"/>
      <selection pane="bottomLeft" activeCell="J12" sqref="J12"/>
    </sheetView>
    <sheetView workbookViewId="1"/>
  </sheetViews>
  <sheetFormatPr defaultRowHeight="15" x14ac:dyDescent="0.25"/>
  <cols>
    <col min="1" max="1" width="6" style="4" customWidth="1"/>
    <col min="2" max="2" width="14" style="4" customWidth="1"/>
    <col min="3" max="3" width="12" style="4" customWidth="1"/>
    <col min="4" max="6" width="10" style="4" customWidth="1"/>
    <col min="7" max="11" width="12" style="4" customWidth="1"/>
    <col min="12" max="13" width="10" style="4" customWidth="1"/>
    <col min="14" max="16384" width="9.140625" style="4"/>
  </cols>
  <sheetData>
    <row r="1" spans="1:13" x14ac:dyDescent="0.25">
      <c r="A1" s="14" t="s">
        <v>66</v>
      </c>
      <c r="B1" s="7"/>
      <c r="C1" s="7"/>
      <c r="D1" s="7"/>
      <c r="E1" s="7"/>
      <c r="F1" s="7"/>
      <c r="G1" s="7"/>
      <c r="H1" s="7"/>
      <c r="I1" s="7"/>
      <c r="J1" s="7"/>
      <c r="K1" s="7"/>
      <c r="L1" s="7"/>
      <c r="M1" s="7"/>
    </row>
    <row r="2" spans="1:13" x14ac:dyDescent="0.25">
      <c r="A2" s="15" t="s">
        <v>67</v>
      </c>
      <c r="B2" s="8"/>
      <c r="C2" s="8"/>
      <c r="D2" s="8"/>
      <c r="E2" s="8"/>
      <c r="F2" s="8"/>
      <c r="G2" s="8"/>
      <c r="H2" s="8"/>
      <c r="I2" s="8"/>
      <c r="J2" s="8"/>
      <c r="K2" s="8"/>
      <c r="L2" s="8"/>
      <c r="M2" s="8"/>
    </row>
    <row r="4" spans="1:13" ht="30" x14ac:dyDescent="0.25">
      <c r="A4" s="6" t="s">
        <v>68</v>
      </c>
      <c r="B4" s="6" t="s">
        <v>69</v>
      </c>
      <c r="C4" s="6" t="s">
        <v>70</v>
      </c>
      <c r="D4" s="6" t="s">
        <v>71</v>
      </c>
      <c r="E4" s="6" t="s">
        <v>72</v>
      </c>
      <c r="F4" s="6" t="s">
        <v>73</v>
      </c>
      <c r="G4" s="6" t="s">
        <v>74</v>
      </c>
      <c r="H4" s="6" t="s">
        <v>75</v>
      </c>
      <c r="I4" s="6" t="s">
        <v>76</v>
      </c>
      <c r="J4" s="6" t="s">
        <v>77</v>
      </c>
      <c r="K4" s="6" t="s">
        <v>78</v>
      </c>
      <c r="L4" s="6" t="s">
        <v>79</v>
      </c>
      <c r="M4" s="6" t="s">
        <v>80</v>
      </c>
    </row>
    <row r="5" spans="1:13" x14ac:dyDescent="0.25">
      <c r="A5" s="6">
        <v>0</v>
      </c>
      <c r="B5" s="6">
        <f ca="1">IFERROR(_xludf.XLOOKUP(A5,Events!$A$5:$A$200,Events!$B$5:$B$200,0),0)</f>
        <v>0</v>
      </c>
      <c r="C5" s="6">
        <f ca="1">MAX(0,MIN(1, AVERAGE(Inputs!$B$15,Inputs!$B$16,Inputs!$B$17) - 0.35*B5*(1+0.6*Inputs!$B$27) ))</f>
        <v>0.80333333333333334</v>
      </c>
      <c r="D5" s="6">
        <f>Inputs!$B$18</f>
        <v>0.45</v>
      </c>
      <c r="E5" s="5">
        <f ca="1">MIN(1, (1-C5)*0.8 + B5*(1+0.8*(1-D5)+0.6*Inputs!$B$27))</f>
        <v>0.15733333333333333</v>
      </c>
      <c r="F5" s="5">
        <v>0</v>
      </c>
      <c r="G5" s="5">
        <v>0</v>
      </c>
      <c r="H5" s="5">
        <v>0</v>
      </c>
      <c r="I5" s="5">
        <v>0</v>
      </c>
      <c r="J5" s="5">
        <v>0</v>
      </c>
      <c r="K5" s="5">
        <v>0</v>
      </c>
      <c r="L5" s="6">
        <f t="shared" ref="L5" ca="1" si="0">MAX(0,MIN(1, 0.35*C5 + 0.15*D5 + 0.5*(0.2*(1-G5)+0.22*(1-H5)+0.22*(1-I5)+0.18*(1-J5)+0.18*(1-K5))))</f>
        <v>0.84866666666666668</v>
      </c>
      <c r="M5" s="5" t="str">
        <f>IF(A5&lt;(Inputs!$B$6+Inputs!$B$8-1),"",IF(COUNTIF(INDEX($L:$L,ROW(L5)-(Inputs!$B$8-1)):L5,"&lt;"&amp;Inputs!$B$7)=Inputs!$B$8,"COLLAPSE",""))</f>
        <v/>
      </c>
    </row>
    <row r="6" spans="1:13" x14ac:dyDescent="0.25">
      <c r="A6" s="6">
        <v>1</v>
      </c>
      <c r="B6" s="6">
        <f ca="1">IFERROR(_xludf.XLOOKUP(A6,Events!$A$5:$A$200,Events!$B$5:$B$200,0),0)</f>
        <v>0</v>
      </c>
      <c r="C6" s="6">
        <f ca="1">MAX(0,MIN(1, AVERAGE(Inputs!$B$15,Inputs!$B$16,Inputs!$B$17) - 0.35*B6*(1+0.6*Inputs!$B$27) ))</f>
        <v>0.80333333333333334</v>
      </c>
      <c r="D6" s="6">
        <f ca="1">MAX(0,MIN(1, D5 - 0.12*E6 + 0.1*Inputs!$B$25*(1-B6) ))</f>
        <v>0.48612</v>
      </c>
      <c r="E6" s="5">
        <f ca="1">MIN(1, (1-C6)*0.8 + B6*(1+0.8*(1-D5)+0.6*Inputs!$B$27))</f>
        <v>0.15733333333333333</v>
      </c>
      <c r="F6" s="5">
        <f ca="1">IF(L5&lt;Inputs!$B$9,1,0)</f>
        <v>0</v>
      </c>
      <c r="G6" s="5">
        <f ca="1">MAX(0,MIN(1, G5 + Inputs!$B$12*E6*(1-Inputs!$B$24) + Inputs!$B$10*F6 - Inputs!$B$11*Inputs!$B$24*(1-E6) ))</f>
        <v>0.11125733333333332</v>
      </c>
      <c r="H6" s="5">
        <f ca="1">MAX(0,MIN(1,
  H5
  + Inputs!$B$12*E6*(1-Inputs!$B$21)
  + Inputs!$B$10*F6
  - Inputs!$B$11*Inputs!$B$21*(1-E6)
))</f>
        <v>0.10451466666666667</v>
      </c>
      <c r="I6" s="5">
        <f ca="1">MAX(0,MIN(1,
  I5
  + Inputs!$B$12*E6*(1-Inputs!$B$22)
  + Inputs!$B$10*F6
  - Inputs!$B$11*Inputs!$B$22*(1-E6)
))</f>
        <v>9.1029333333333337E-2</v>
      </c>
      <c r="J6" s="5">
        <f ca="1">MAX(0,MIN(1,
  J5
  + Inputs!$B$12*E6*(1-Inputs!$B$23)
  + Inputs!$B$10*F6
  - Inputs!$B$11*Inputs!$B$23*(1-E6)
))</f>
        <v>0.10451466666666667</v>
      </c>
      <c r="K6" s="5">
        <f ca="1">MAX(0,MIN(1,
  K5
  + Inputs!$B$12*E6*(1-Inputs!$B$25)
  + Inputs!$B$10*F6
  - Inputs!$B$11*Inputs!$B$25*(1-E6)
))</f>
        <v>4.3830666666666657E-2</v>
      </c>
      <c r="L6" s="6">
        <f ca="1">MAX(0,MIN(1, 0.35*C6 + 0.15*D6 + 0.5*(0.2*(1-G6)+0.22*(1-H6)+0.22*(1-I6)+0.18*(1-J6)+0.18*(1-K6))))</f>
        <v>0.80809801333333331</v>
      </c>
      <c r="M6" s="5" t="str">
        <f>IF(A6&lt;(Inputs!$B$6+Inputs!$B$8-1),"",
IF(COUNTIF(INDEX($L:$L,ROW(L6)-(Inputs!$B$8-1)):L6,"&lt;"&amp;Inputs!$B$7)=Inputs!$B$8,"COLLAPSE",""))</f>
        <v/>
      </c>
    </row>
    <row r="7" spans="1:13" x14ac:dyDescent="0.25">
      <c r="A7" s="6">
        <v>2</v>
      </c>
      <c r="B7" s="6">
        <f ca="1">IFERROR(_xludf.XLOOKUP(A7,Events!$A$5:$A$200,Events!$B$5:$B$200,0),0)</f>
        <v>0</v>
      </c>
      <c r="C7" s="6">
        <f ca="1">MAX(0,MIN(1, AVERAGE(Inputs!$B$15,Inputs!$B$16,Inputs!$B$17) - 0.35*B7*(1+0.6*Inputs!$B$27) ))</f>
        <v>0.80333333333333334</v>
      </c>
      <c r="D7" s="6">
        <f ca="1">MAX(0,MIN(1, D6 - 0.12*E7 + 0.1*Inputs!$B$25*(1-B7) ))</f>
        <v>0.52224000000000004</v>
      </c>
      <c r="E7" s="5">
        <f ca="1">MIN(1, (1-C7)*0.8 + B7*(1+0.8*(1-D6)+0.6*Inputs!$B$27))</f>
        <v>0.15733333333333333</v>
      </c>
      <c r="F7" s="5">
        <f ca="1">IF(L6&lt;Inputs!$B$9,1,0)</f>
        <v>0</v>
      </c>
      <c r="G7" s="5">
        <f ca="1">MAX(0,MIN(1, G6 + Inputs!$B$12*E7*(1-Inputs!$B$24) + Inputs!$B$10*F7 - Inputs!$B$11*Inputs!$B$24*(1-E7) ))</f>
        <v>0.22251466666666664</v>
      </c>
      <c r="H7" s="5">
        <f ca="1">MAX(0,MIN(1,
  H6
  + Inputs!$B$12*E7*(1-Inputs!$B$21)
  + Inputs!$B$10*F7
  - Inputs!$B$11*Inputs!$B$21*(1-E7)
))</f>
        <v>0.20902933333333332</v>
      </c>
      <c r="I7" s="5">
        <f ca="1">MAX(0,MIN(1,
  I6
  + Inputs!$B$12*E7*(1-Inputs!$B$22)
  + Inputs!$B$10*F7
  - Inputs!$B$11*Inputs!$B$22*(1-E7)
))</f>
        <v>0.18205866666666667</v>
      </c>
      <c r="J7" s="5">
        <f ca="1">MAX(0,MIN(1,
  J6
  + Inputs!$B$12*E7*(1-Inputs!$B$23)
  + Inputs!$B$10*F7
  - Inputs!$B$11*Inputs!$B$23*(1-E7)
))</f>
        <v>0.20902933333333332</v>
      </c>
      <c r="K7" s="5">
        <f ca="1">MAX(0,MIN(1,
  K6
  + Inputs!$B$12*E7*(1-Inputs!$B$25)
  + Inputs!$B$10*F7
  - Inputs!$B$11*Inputs!$B$25*(1-E7)
))</f>
        <v>8.7661333333333313E-2</v>
      </c>
      <c r="L7" s="6">
        <f t="shared" ref="L7:L64" ca="1" si="1">MAX(0,MIN(1, 0.35*C7 + 0.15*D7 + 0.5*(0.2*(1-G7)+0.22*(1-H7)+0.22*(1-I7)+0.18*(1-J7)+0.18*(1-K7))))</f>
        <v>0.76752935999999994</v>
      </c>
      <c r="M7" s="5" t="str">
        <f>IF(A7&lt;(Inputs!$B$6+Inputs!$B$8-1),"",
IF(COUNTIF(INDEX($L:$L,ROW(L7)-(Inputs!$B$8-1)):L7,"&lt;"&amp;Inputs!$B$7)=Inputs!$B$8,"COLLAPSE",""))</f>
        <v/>
      </c>
    </row>
    <row r="8" spans="1:13" x14ac:dyDescent="0.25">
      <c r="A8" s="6">
        <v>3</v>
      </c>
      <c r="B8" s="6">
        <f ca="1">IFERROR(_xludf.XLOOKUP(A8,Events!$A$5:$A$200,Events!$B$5:$B$200,0),0)</f>
        <v>0</v>
      </c>
      <c r="C8" s="6">
        <f ca="1">MAX(0,MIN(1, AVERAGE(Inputs!$B$15,Inputs!$B$16,Inputs!$B$17) - 0.35*B8*(1+0.6*Inputs!$B$27) ))</f>
        <v>0.80333333333333334</v>
      </c>
      <c r="D8" s="6">
        <f ca="1">MAX(0,MIN(1, D7 - 0.12*E8 + 0.1*Inputs!$B$25*(1-B8) ))</f>
        <v>0.55836000000000008</v>
      </c>
      <c r="E8" s="5">
        <f ca="1">MIN(1, (1-C8)*0.8 + B8*(1+0.8*(1-D7)+0.6*Inputs!$B$27))</f>
        <v>0.15733333333333333</v>
      </c>
      <c r="F8" s="5">
        <f ca="1">IF(L7&lt;Inputs!$B$9,1,0)</f>
        <v>1</v>
      </c>
      <c r="G8" s="5">
        <f ca="1">MAX(0,MIN(1, G7 + Inputs!$B$12*E8*(1-Inputs!$B$24) + Inputs!$B$10*F8 - Inputs!$B$11*Inputs!$B$24*(1-E8) ))</f>
        <v>0.37377199999999994</v>
      </c>
      <c r="H8" s="5">
        <f ca="1">MAX(0,MIN(1,
  H7
  + Inputs!$B$12*E8*(1-Inputs!$B$21)
  + Inputs!$B$10*F8
  - Inputs!$B$11*Inputs!$B$21*(1-E8)
))</f>
        <v>0.35354399999999997</v>
      </c>
      <c r="I8" s="5">
        <f ca="1">MAX(0,MIN(1,
  I7
  + Inputs!$B$12*E8*(1-Inputs!$B$22)
  + Inputs!$B$10*F8
  - Inputs!$B$11*Inputs!$B$22*(1-E8)
))</f>
        <v>0.31308799999999998</v>
      </c>
      <c r="J8" s="5">
        <f ca="1">MAX(0,MIN(1,
  J7
  + Inputs!$B$12*E8*(1-Inputs!$B$23)
  + Inputs!$B$10*F8
  - Inputs!$B$11*Inputs!$B$23*(1-E8)
))</f>
        <v>0.35354399999999997</v>
      </c>
      <c r="K8" s="5">
        <f ca="1">MAX(0,MIN(1,
  K7
  + Inputs!$B$12*E8*(1-Inputs!$B$25)
  + Inputs!$B$10*F8
  - Inputs!$B$11*Inputs!$B$25*(1-E8)
))</f>
        <v>0.17149199999999998</v>
      </c>
      <c r="L8" s="6">
        <f t="shared" ca="1" si="1"/>
        <v>0.70696070666666677</v>
      </c>
      <c r="M8" s="5" t="str">
        <f>IF(A8&lt;(Inputs!$B$6+Inputs!$B$8-1),"",
IF(COUNTIF(INDEX($L:$L,ROW(L8)-(Inputs!$B$8-1)):L8,"&lt;"&amp;Inputs!$B$7)=Inputs!$B$8,"COLLAPSE",""))</f>
        <v/>
      </c>
    </row>
    <row r="9" spans="1:13" x14ac:dyDescent="0.25">
      <c r="A9" s="6">
        <v>4</v>
      </c>
      <c r="B9" s="6">
        <f ca="1">IFERROR(_xludf.XLOOKUP(A9,Events!$A$5:$A$200,Events!$B$5:$B$200,0),0)</f>
        <v>0</v>
      </c>
      <c r="C9" s="6">
        <f ca="1">MAX(0,MIN(1, AVERAGE(Inputs!$B$15,Inputs!$B$16,Inputs!$B$17) - 0.35*B9*(1+0.6*Inputs!$B$27) ))</f>
        <v>0.80333333333333334</v>
      </c>
      <c r="D9" s="6">
        <f ca="1">MAX(0,MIN(1, D8 - 0.12*E9 + 0.1*Inputs!$B$25*(1-B9) ))</f>
        <v>0.59448000000000012</v>
      </c>
      <c r="E9" s="5">
        <f ca="1">MIN(1, (1-C9)*0.8 + B9*(1+0.8*(1-D8)+0.6*Inputs!$B$27))</f>
        <v>0.15733333333333333</v>
      </c>
      <c r="F9" s="5">
        <f ca="1">IF(L8&lt;Inputs!$B$9,1,0)</f>
        <v>1</v>
      </c>
      <c r="G9" s="5">
        <f ca="1">MAX(0,MIN(1, G8 + Inputs!$B$12*E9*(1-Inputs!$B$24) + Inputs!$B$10*F9 - Inputs!$B$11*Inputs!$B$24*(1-E9) ))</f>
        <v>0.52502933333333324</v>
      </c>
      <c r="H9" s="5">
        <f ca="1">MAX(0,MIN(1,
  H8
  + Inputs!$B$12*E9*(1-Inputs!$B$21)
  + Inputs!$B$10*F9
  - Inputs!$B$11*Inputs!$B$21*(1-E9)
))</f>
        <v>0.49805866666666665</v>
      </c>
      <c r="I9" s="5">
        <f ca="1">MAX(0,MIN(1,
  I8
  + Inputs!$B$12*E9*(1-Inputs!$B$22)
  + Inputs!$B$10*F9
  - Inputs!$B$11*Inputs!$B$22*(1-E9)
))</f>
        <v>0.44411733333333325</v>
      </c>
      <c r="J9" s="5">
        <f ca="1">MAX(0,MIN(1,
  J8
  + Inputs!$B$12*E9*(1-Inputs!$B$23)
  + Inputs!$B$10*F9
  - Inputs!$B$11*Inputs!$B$23*(1-E9)
))</f>
        <v>0.49805866666666665</v>
      </c>
      <c r="K9" s="5">
        <f ca="1">MAX(0,MIN(1,
  K8
  + Inputs!$B$12*E9*(1-Inputs!$B$25)
  + Inputs!$B$10*F9
  - Inputs!$B$11*Inputs!$B$25*(1-E9)
))</f>
        <v>0.25532266666666659</v>
      </c>
      <c r="L9" s="6">
        <f t="shared" ca="1" si="1"/>
        <v>0.64639205333333338</v>
      </c>
      <c r="M9" s="5" t="str">
        <f>IF(A9&lt;(Inputs!$B$6+Inputs!$B$8-1),"",
IF(COUNTIF(INDEX($L:$L,ROW(L9)-(Inputs!$B$8-1)):L9,"&lt;"&amp;Inputs!$B$7)=Inputs!$B$8,"COLLAPSE",""))</f>
        <v/>
      </c>
    </row>
    <row r="10" spans="1:13" x14ac:dyDescent="0.25">
      <c r="A10" s="6">
        <v>5</v>
      </c>
      <c r="B10" s="6">
        <f ca="1">IFERROR(_xludf.XLOOKUP(A10,Events!$A$5:$A$200,Events!$B$5:$B$200,0),0)</f>
        <v>0</v>
      </c>
      <c r="C10" s="6">
        <f ca="1">MAX(0,MIN(1, AVERAGE(Inputs!$B$15,Inputs!$B$16,Inputs!$B$17) - 0.35*B10*(1+0.6*Inputs!$B$27) ))</f>
        <v>0.80333333333333334</v>
      </c>
      <c r="D10" s="6">
        <f ca="1">MAX(0,MIN(1, D9 - 0.12*E10 + 0.1*Inputs!$B$25*(1-B10) ))</f>
        <v>0.63060000000000016</v>
      </c>
      <c r="E10" s="5">
        <f ca="1">MIN(1, (1-C10)*0.8 + B10*(1+0.8*(1-D9)+0.6*Inputs!$B$27))</f>
        <v>0.15733333333333333</v>
      </c>
      <c r="F10" s="5">
        <f ca="1">IF(L9&lt;Inputs!$B$9,1,0)</f>
        <v>1</v>
      </c>
      <c r="G10" s="5">
        <f ca="1">MAX(0,MIN(1, G9 + Inputs!$B$12*E10*(1-Inputs!$B$24) + Inputs!$B$10*F10 - Inputs!$B$11*Inputs!$B$24*(1-E10) ))</f>
        <v>0.67628666666666659</v>
      </c>
      <c r="H10" s="5">
        <f ca="1">MAX(0,MIN(1,
  H9
  + Inputs!$B$12*E10*(1-Inputs!$B$21)
  + Inputs!$B$10*F10
  - Inputs!$B$11*Inputs!$B$21*(1-E10)
))</f>
        <v>0.64257333333333333</v>
      </c>
      <c r="I10" s="5">
        <f ca="1">MAX(0,MIN(1,
  I9
  + Inputs!$B$12*E10*(1-Inputs!$B$22)
  + Inputs!$B$10*F10
  - Inputs!$B$11*Inputs!$B$22*(1-E10)
))</f>
        <v>0.57514666666666669</v>
      </c>
      <c r="J10" s="5">
        <f ca="1">MAX(0,MIN(1,
  J9
  + Inputs!$B$12*E10*(1-Inputs!$B$23)
  + Inputs!$B$10*F10
  - Inputs!$B$11*Inputs!$B$23*(1-E10)
))</f>
        <v>0.64257333333333333</v>
      </c>
      <c r="K10" s="5">
        <f ca="1">MAX(0,MIN(1,
  K9
  + Inputs!$B$12*E10*(1-Inputs!$B$25)
  + Inputs!$B$10*F10
  - Inputs!$B$11*Inputs!$B$25*(1-E10)
))</f>
        <v>0.3391533333333332</v>
      </c>
      <c r="L10" s="6">
        <f t="shared" ca="1" si="1"/>
        <v>0.58582339999999999</v>
      </c>
      <c r="M10" s="5" t="str">
        <f>IF(A10&lt;(Inputs!$B$6+Inputs!$B$8-1),"",
IF(COUNTIF(INDEX($L:$L,ROW(L10)-(Inputs!$B$8-1)):L10,"&lt;"&amp;Inputs!$B$7)=Inputs!$B$8,"COLLAPSE",""))</f>
        <v/>
      </c>
    </row>
    <row r="11" spans="1:13" x14ac:dyDescent="0.25">
      <c r="A11" s="6">
        <v>6</v>
      </c>
      <c r="B11" s="6">
        <f ca="1">IFERROR(_xludf.XLOOKUP(A11,Events!$A$5:$A$200,Events!$B$5:$B$200,0),0)</f>
        <v>0</v>
      </c>
      <c r="C11" s="6">
        <f ca="1">MAX(0,MIN(1, AVERAGE(Inputs!$B$15,Inputs!$B$16,Inputs!$B$17) - 0.35*B11*(1+0.6*Inputs!$B$27) ))</f>
        <v>0.80333333333333334</v>
      </c>
      <c r="D11" s="6">
        <f ca="1">MAX(0,MIN(1, D10 - 0.12*E11 + 0.1*Inputs!$B$25*(1-B11) ))</f>
        <v>0.6667200000000002</v>
      </c>
      <c r="E11" s="5">
        <f ca="1">MIN(1, (1-C11)*0.8 + B11*(1+0.8*(1-D10)+0.6*Inputs!$B$27))</f>
        <v>0.15733333333333333</v>
      </c>
      <c r="F11" s="5">
        <f ca="1">IF(L10&lt;Inputs!$B$9,1,0)</f>
        <v>1</v>
      </c>
      <c r="G11" s="5">
        <f ca="1">MAX(0,MIN(1, G10 + Inputs!$B$12*E11*(1-Inputs!$B$24) + Inputs!$B$10*F11 - Inputs!$B$11*Inputs!$B$24*(1-E11) ))</f>
        <v>0.82754399999999995</v>
      </c>
      <c r="H11" s="5">
        <f ca="1">MAX(0,MIN(1,
  H10
  + Inputs!$B$12*E11*(1-Inputs!$B$21)
  + Inputs!$B$10*F11
  - Inputs!$B$11*Inputs!$B$21*(1-E11)
))</f>
        <v>0.78708800000000001</v>
      </c>
      <c r="I11" s="5">
        <f ca="1">MAX(0,MIN(1,
  I10
  + Inputs!$B$12*E11*(1-Inputs!$B$22)
  + Inputs!$B$10*F11
  - Inputs!$B$11*Inputs!$B$22*(1-E11)
))</f>
        <v>0.70617600000000014</v>
      </c>
      <c r="J11" s="5">
        <f ca="1">MAX(0,MIN(1,
  J10
  + Inputs!$B$12*E11*(1-Inputs!$B$23)
  + Inputs!$B$10*F11
  - Inputs!$B$11*Inputs!$B$23*(1-E11)
))</f>
        <v>0.78708800000000001</v>
      </c>
      <c r="K11" s="5">
        <f ca="1">MAX(0,MIN(1,
  K10
  + Inputs!$B$12*E11*(1-Inputs!$B$25)
  + Inputs!$B$10*F11
  - Inputs!$B$11*Inputs!$B$25*(1-E11)
))</f>
        <v>0.4229839999999998</v>
      </c>
      <c r="L11" s="6">
        <f t="shared" ca="1" si="1"/>
        <v>0.52525474666666672</v>
      </c>
      <c r="M11" s="5" t="str">
        <f>IF(A11&lt;(Inputs!$B$6+Inputs!$B$8-1),"",
IF(COUNTIF(INDEX($L:$L,ROW(L11)-(Inputs!$B$8-1)):L11,"&lt;"&amp;Inputs!$B$7)=Inputs!$B$8,"COLLAPSE",""))</f>
        <v/>
      </c>
    </row>
    <row r="12" spans="1:13" x14ac:dyDescent="0.25">
      <c r="A12" s="6">
        <v>7</v>
      </c>
      <c r="B12" s="6">
        <f ca="1">IFERROR(_xludf.XLOOKUP(A12,Events!$A$5:$A$200,Events!$B$5:$B$200,0),0)</f>
        <v>0</v>
      </c>
      <c r="C12" s="6">
        <f ca="1">MAX(0,MIN(1, AVERAGE(Inputs!$B$15,Inputs!$B$16,Inputs!$B$17) - 0.35*B12*(1+0.6*Inputs!$B$27) ))</f>
        <v>0.80333333333333334</v>
      </c>
      <c r="D12" s="6">
        <f ca="1">MAX(0,MIN(1, D11 - 0.12*E12 + 0.1*Inputs!$B$25*(1-B12) ))</f>
        <v>0.70284000000000024</v>
      </c>
      <c r="E12" s="5">
        <f ca="1">MIN(1, (1-C12)*0.8 + B12*(1+0.8*(1-D11)+0.6*Inputs!$B$27))</f>
        <v>0.15733333333333333</v>
      </c>
      <c r="F12" s="5">
        <f ca="1">IF(L11&lt;Inputs!$B$9,1,0)</f>
        <v>1</v>
      </c>
      <c r="G12" s="5">
        <f ca="1">MAX(0,MIN(1, G11 + Inputs!$B$12*E12*(1-Inputs!$B$24) + Inputs!$B$10*F12 - Inputs!$B$11*Inputs!$B$24*(1-E12) ))</f>
        <v>0.9788013333333333</v>
      </c>
      <c r="H12" s="5">
        <f ca="1">MAX(0,MIN(1,
  H11
  + Inputs!$B$12*E12*(1-Inputs!$B$21)
  + Inputs!$B$10*F12
  - Inputs!$B$11*Inputs!$B$21*(1-E12)
))</f>
        <v>0.93160266666666669</v>
      </c>
      <c r="I12" s="5">
        <f ca="1">MAX(0,MIN(1,
  I11
  + Inputs!$B$12*E12*(1-Inputs!$B$22)
  + Inputs!$B$10*F12
  - Inputs!$B$11*Inputs!$B$22*(1-E12)
))</f>
        <v>0.83720533333333358</v>
      </c>
      <c r="J12" s="5">
        <f ca="1">MAX(0,MIN(1,
  J11
  + Inputs!$B$12*E12*(1-Inputs!$B$23)
  + Inputs!$B$10*F12
  - Inputs!$B$11*Inputs!$B$23*(1-E12)
))</f>
        <v>0.93160266666666669</v>
      </c>
      <c r="K12" s="5">
        <f ca="1">MAX(0,MIN(1,
  K11
  + Inputs!$B$12*E12*(1-Inputs!$B$25)
  + Inputs!$B$10*F12
  - Inputs!$B$11*Inputs!$B$25*(1-E12)
))</f>
        <v>0.50681466666666641</v>
      </c>
      <c r="L12" s="6">
        <f t="shared" ca="1" si="1"/>
        <v>0.46468609333333333</v>
      </c>
      <c r="M12" s="5" t="str">
        <f>IF(A12&lt;(Inputs!$B$6+Inputs!$B$8-1),"",
IF(COUNTIF(INDEX($L:$L,ROW(L12)-(Inputs!$B$8-1)):L12,"&lt;"&amp;Inputs!$B$7)=Inputs!$B$8,"COLLAPSE",""))</f>
        <v/>
      </c>
    </row>
    <row r="13" spans="1:13" x14ac:dyDescent="0.25">
      <c r="A13" s="6">
        <v>8</v>
      </c>
      <c r="B13" s="6">
        <f ca="1">IFERROR(_xludf.XLOOKUP(A13,Events!$A$5:$A$200,Events!$B$5:$B$200,0),0)</f>
        <v>0</v>
      </c>
      <c r="C13" s="6">
        <f ca="1">MAX(0,MIN(1, AVERAGE(Inputs!$B$15,Inputs!$B$16,Inputs!$B$17) - 0.35*B13*(1+0.6*Inputs!$B$27) ))</f>
        <v>0.80333333333333334</v>
      </c>
      <c r="D13" s="6">
        <f ca="1">MAX(0,MIN(1, D12 - 0.12*E13 + 0.1*Inputs!$B$25*(1-B13) ))</f>
        <v>0.73896000000000028</v>
      </c>
      <c r="E13" s="5">
        <f ca="1">MIN(1, (1-C13)*0.8 + B13*(1+0.8*(1-D12)+0.6*Inputs!$B$27))</f>
        <v>0.15733333333333333</v>
      </c>
      <c r="F13" s="5">
        <f ca="1">IF(L12&lt;Inputs!$B$9,1,0)</f>
        <v>1</v>
      </c>
      <c r="G13" s="5">
        <f ca="1">MAX(0,MIN(1, G12 + Inputs!$B$12*E13*(1-Inputs!$B$24) + Inputs!$B$10*F13 - Inputs!$B$11*Inputs!$B$24*(1-E13) ))</f>
        <v>1</v>
      </c>
      <c r="H13" s="5">
        <f ca="1">MAX(0,MIN(1,
  H12
  + Inputs!$B$12*E13*(1-Inputs!$B$21)
  + Inputs!$B$10*F13
  - Inputs!$B$11*Inputs!$B$21*(1-E13)
))</f>
        <v>1</v>
      </c>
      <c r="I13" s="5">
        <f ca="1">MAX(0,MIN(1,
  I12
  + Inputs!$B$12*E13*(1-Inputs!$B$22)
  + Inputs!$B$10*F13
  - Inputs!$B$11*Inputs!$B$22*(1-E13)
))</f>
        <v>0.96823466666666702</v>
      </c>
      <c r="J13" s="5">
        <f ca="1">MAX(0,MIN(1,
  J12
  + Inputs!$B$12*E13*(1-Inputs!$B$23)
  + Inputs!$B$10*F13
  - Inputs!$B$11*Inputs!$B$23*(1-E13)
))</f>
        <v>1</v>
      </c>
      <c r="K13" s="5">
        <f ca="1">MAX(0,MIN(1,
  K12
  + Inputs!$B$12*E13*(1-Inputs!$B$25)
  + Inputs!$B$10*F13
  - Inputs!$B$11*Inputs!$B$25*(1-E13)
))</f>
        <v>0.59064533333333313</v>
      </c>
      <c r="L13" s="6">
        <f t="shared" ca="1" si="1"/>
        <v>0.43234677333333338</v>
      </c>
      <c r="M13" s="5" t="str">
        <f>IF(A13&lt;(Inputs!$B$6+Inputs!$B$8-1),"",
IF(COUNTIF(INDEX($L:$L,ROW(L13)-(Inputs!$B$8-1)):L13,"&lt;"&amp;Inputs!$B$7)=Inputs!$B$8,"COLLAPSE",""))</f>
        <v/>
      </c>
    </row>
    <row r="14" spans="1:13" x14ac:dyDescent="0.25">
      <c r="A14" s="6">
        <v>9</v>
      </c>
      <c r="B14" s="6">
        <f ca="1">IFERROR(_xludf.XLOOKUP(A14,Events!$A$5:$A$200,Events!$B$5:$B$200,0),0)</f>
        <v>0</v>
      </c>
      <c r="C14" s="6">
        <f ca="1">MAX(0,MIN(1, AVERAGE(Inputs!$B$15,Inputs!$B$16,Inputs!$B$17) - 0.35*B14*(1+0.6*Inputs!$B$27) ))</f>
        <v>0.80333333333333334</v>
      </c>
      <c r="D14" s="6">
        <f ca="1">MAX(0,MIN(1, D13 - 0.12*E14 + 0.1*Inputs!$B$25*(1-B14) ))</f>
        <v>0.77508000000000032</v>
      </c>
      <c r="E14" s="5">
        <f ca="1">MIN(1, (1-C14)*0.8 + B14*(1+0.8*(1-D13)+0.6*Inputs!$B$27))</f>
        <v>0.15733333333333333</v>
      </c>
      <c r="F14" s="5">
        <f ca="1">IF(L13&lt;Inputs!$B$9,1,0)</f>
        <v>1</v>
      </c>
      <c r="G14" s="5">
        <f ca="1">MAX(0,MIN(1, G13 + Inputs!$B$12*E14*(1-Inputs!$B$24) + Inputs!$B$10*F14 - Inputs!$B$11*Inputs!$B$24*(1-E14) ))</f>
        <v>1</v>
      </c>
      <c r="H14" s="5">
        <f ca="1">MAX(0,MIN(1,
  H13
  + Inputs!$B$12*E14*(1-Inputs!$B$21)
  + Inputs!$B$10*F14
  - Inputs!$B$11*Inputs!$B$21*(1-E14)
))</f>
        <v>1</v>
      </c>
      <c r="I14" s="5">
        <f ca="1">MAX(0,MIN(1,
  I13
  + Inputs!$B$12*E14*(1-Inputs!$B$22)
  + Inputs!$B$10*F14
  - Inputs!$B$11*Inputs!$B$22*(1-E14)
))</f>
        <v>1</v>
      </c>
      <c r="J14" s="5">
        <f ca="1">MAX(0,MIN(1,
  J13
  + Inputs!$B$12*E14*(1-Inputs!$B$23)
  + Inputs!$B$10*F14
  - Inputs!$B$11*Inputs!$B$23*(1-E14)
))</f>
        <v>1</v>
      </c>
      <c r="K14" s="5">
        <f ca="1">MAX(0,MIN(1,
  K13
  + Inputs!$B$12*E14*(1-Inputs!$B$25)
  + Inputs!$B$10*F14
  - Inputs!$B$11*Inputs!$B$25*(1-E14)
))</f>
        <v>0.67447599999999985</v>
      </c>
      <c r="L14" s="6">
        <f t="shared" ca="1" si="1"/>
        <v>0.4267258266666667</v>
      </c>
      <c r="M14" s="5" t="str">
        <f ca="1">IF(A14&lt;(Inputs!$B$6+Inputs!$B$8-1),"",
IF(COUNTIF(INDEX($L:$L,ROW(L14)-(Inputs!$B$8-1)):L14,"&lt;"&amp;Inputs!$B$7)=Inputs!$B$8,"COLLAPSE",""))</f>
        <v>COLLAPSE</v>
      </c>
    </row>
    <row r="15" spans="1:13" x14ac:dyDescent="0.25">
      <c r="A15" s="6">
        <v>10</v>
      </c>
      <c r="B15" s="6">
        <f ca="1">IFERROR(_xludf.XLOOKUP(A15,Events!$A$5:$A$200,Events!$B$5:$B$200,0),0)</f>
        <v>0</v>
      </c>
      <c r="C15" s="6">
        <f ca="1">MAX(0,MIN(1, AVERAGE(Inputs!$B$15,Inputs!$B$16,Inputs!$B$17) - 0.35*B15*(1+0.6*Inputs!$B$27) ))</f>
        <v>0.80333333333333334</v>
      </c>
      <c r="D15" s="6">
        <f ca="1">MAX(0,MIN(1, D14 - 0.12*E15 + 0.1*Inputs!$B$25*(1-B15) ))</f>
        <v>0.81120000000000037</v>
      </c>
      <c r="E15" s="5">
        <f ca="1">MIN(1, (1-C15)*0.8 + B15*(1+0.8*(1-D14)+0.6*Inputs!$B$27))</f>
        <v>0.15733333333333333</v>
      </c>
      <c r="F15" s="5">
        <f ca="1">IF(L14&lt;Inputs!$B$9,1,0)</f>
        <v>1</v>
      </c>
      <c r="G15" s="5">
        <f ca="1">MAX(0,MIN(1, G14 + Inputs!$B$12*E15*(1-Inputs!$B$24) + Inputs!$B$10*F15 - Inputs!$B$11*Inputs!$B$24*(1-E15) ))</f>
        <v>1</v>
      </c>
      <c r="H15" s="5">
        <f ca="1">MAX(0,MIN(1,
  H14
  + Inputs!$B$12*E15*(1-Inputs!$B$21)
  + Inputs!$B$10*F15
  - Inputs!$B$11*Inputs!$B$21*(1-E15)
))</f>
        <v>1</v>
      </c>
      <c r="I15" s="5">
        <f ca="1">MAX(0,MIN(1,
  I14
  + Inputs!$B$12*E15*(1-Inputs!$B$22)
  + Inputs!$B$10*F15
  - Inputs!$B$11*Inputs!$B$22*(1-E15)
))</f>
        <v>1</v>
      </c>
      <c r="J15" s="5">
        <f ca="1">MAX(0,MIN(1,
  J14
  + Inputs!$B$12*E15*(1-Inputs!$B$23)
  + Inputs!$B$10*F15
  - Inputs!$B$11*Inputs!$B$23*(1-E15)
))</f>
        <v>1</v>
      </c>
      <c r="K15" s="5">
        <f ca="1">MAX(0,MIN(1,
  K14
  + Inputs!$B$12*E15*(1-Inputs!$B$25)
  + Inputs!$B$10*F15
  - Inputs!$B$11*Inputs!$B$25*(1-E15)
))</f>
        <v>0.75830666666666657</v>
      </c>
      <c r="L15" s="6">
        <f t="shared" ca="1" si="1"/>
        <v>0.42459906666666675</v>
      </c>
      <c r="M15" s="5" t="str">
        <f ca="1">IF(A15&lt;(Inputs!$B$6+Inputs!$B$8-1),"",
IF(COUNTIF(INDEX($L:$L,ROW(L15)-(Inputs!$B$8-1)):L15,"&lt;"&amp;Inputs!$B$7)=Inputs!$B$8,"COLLAPSE",""))</f>
        <v>COLLAPSE</v>
      </c>
    </row>
    <row r="16" spans="1:13" x14ac:dyDescent="0.25">
      <c r="A16" s="6">
        <v>11</v>
      </c>
      <c r="B16" s="6">
        <f ca="1">IFERROR(_xludf.XLOOKUP(A16,Events!$A$5:$A$200,Events!$B$5:$B$200,0),0)</f>
        <v>0</v>
      </c>
      <c r="C16" s="6">
        <f ca="1">MAX(0,MIN(1, AVERAGE(Inputs!$B$15,Inputs!$B$16,Inputs!$B$17) - 0.35*B16*(1+0.6*Inputs!$B$27) ))</f>
        <v>0.80333333333333334</v>
      </c>
      <c r="D16" s="6">
        <f ca="1">MAX(0,MIN(1, D15 - 0.12*E16 + 0.1*Inputs!$B$25*(1-B16) ))</f>
        <v>0.84732000000000041</v>
      </c>
      <c r="E16" s="5">
        <f ca="1">MIN(1, (1-C16)*0.8 + B16*(1+0.8*(1-D15)+0.6*Inputs!$B$27))</f>
        <v>0.15733333333333333</v>
      </c>
      <c r="F16" s="5">
        <f ca="1">IF(L15&lt;Inputs!$B$9,1,0)</f>
        <v>1</v>
      </c>
      <c r="G16" s="5">
        <f ca="1">MAX(0,MIN(1, G15 + Inputs!$B$12*E16*(1-Inputs!$B$24) + Inputs!$B$10*F16 - Inputs!$B$11*Inputs!$B$24*(1-E16) ))</f>
        <v>1</v>
      </c>
      <c r="H16" s="5">
        <f ca="1">MAX(0,MIN(1,
  H15
  + Inputs!$B$12*E16*(1-Inputs!$B$21)
  + Inputs!$B$10*F16
  - Inputs!$B$11*Inputs!$B$21*(1-E16)
))</f>
        <v>1</v>
      </c>
      <c r="I16" s="5">
        <f ca="1">MAX(0,MIN(1,
  I15
  + Inputs!$B$12*E16*(1-Inputs!$B$22)
  + Inputs!$B$10*F16
  - Inputs!$B$11*Inputs!$B$22*(1-E16)
))</f>
        <v>1</v>
      </c>
      <c r="J16" s="5">
        <f ca="1">MAX(0,MIN(1,
  J15
  + Inputs!$B$12*E16*(1-Inputs!$B$23)
  + Inputs!$B$10*F16
  - Inputs!$B$11*Inputs!$B$23*(1-E16)
))</f>
        <v>1</v>
      </c>
      <c r="K16" s="5">
        <f ca="1">MAX(0,MIN(1,
  K15
  + Inputs!$B$12*E16*(1-Inputs!$B$25)
  + Inputs!$B$10*F16
  - Inputs!$B$11*Inputs!$B$25*(1-E16)
))</f>
        <v>0.84213733333333329</v>
      </c>
      <c r="L16" s="6">
        <f t="shared" ca="1" si="1"/>
        <v>0.42247230666666674</v>
      </c>
      <c r="M16" s="5" t="str">
        <f ca="1">IF(A16&lt;(Inputs!$B$6+Inputs!$B$8-1),"",
IF(COUNTIF(INDEX($L:$L,ROW(L16)-(Inputs!$B$8-1)):L16,"&lt;"&amp;Inputs!$B$7)=Inputs!$B$8,"COLLAPSE",""))</f>
        <v>COLLAPSE</v>
      </c>
    </row>
    <row r="17" spans="1:13" x14ac:dyDescent="0.25">
      <c r="A17" s="6">
        <v>12</v>
      </c>
      <c r="B17" s="6">
        <f ca="1">IFERROR(_xludf.XLOOKUP(A17,Events!$A$5:$A$200,Events!$B$5:$B$200,0),0)</f>
        <v>0</v>
      </c>
      <c r="C17" s="6">
        <f ca="1">MAX(0,MIN(1, AVERAGE(Inputs!$B$15,Inputs!$B$16,Inputs!$B$17) - 0.35*B17*(1+0.6*Inputs!$B$27) ))</f>
        <v>0.80333333333333334</v>
      </c>
      <c r="D17" s="6">
        <f ca="1">MAX(0,MIN(1, D16 - 0.12*E17 + 0.1*Inputs!$B$25*(1-B17) ))</f>
        <v>0.88344000000000045</v>
      </c>
      <c r="E17" s="5">
        <f ca="1">MIN(1, (1-C17)*0.8 + B17*(1+0.8*(1-D16)+0.6*Inputs!$B$27))</f>
        <v>0.15733333333333333</v>
      </c>
      <c r="F17" s="5">
        <f ca="1">IF(L16&lt;Inputs!$B$9,1,0)</f>
        <v>1</v>
      </c>
      <c r="G17" s="5">
        <f ca="1">MAX(0,MIN(1, G16 + Inputs!$B$12*E17*(1-Inputs!$B$24) + Inputs!$B$10*F17 - Inputs!$B$11*Inputs!$B$24*(1-E17) ))</f>
        <v>1</v>
      </c>
      <c r="H17" s="5">
        <f ca="1">MAX(0,MIN(1,
  H16
  + Inputs!$B$12*E17*(1-Inputs!$B$21)
  + Inputs!$B$10*F17
  - Inputs!$B$11*Inputs!$B$21*(1-E17)
))</f>
        <v>1</v>
      </c>
      <c r="I17" s="5">
        <f ca="1">MAX(0,MIN(1,
  I16
  + Inputs!$B$12*E17*(1-Inputs!$B$22)
  + Inputs!$B$10*F17
  - Inputs!$B$11*Inputs!$B$22*(1-E17)
))</f>
        <v>1</v>
      </c>
      <c r="J17" s="5">
        <f ca="1">MAX(0,MIN(1,
  J16
  + Inputs!$B$12*E17*(1-Inputs!$B$23)
  + Inputs!$B$10*F17
  - Inputs!$B$11*Inputs!$B$23*(1-E17)
))</f>
        <v>1</v>
      </c>
      <c r="K17" s="5">
        <f ca="1">MAX(0,MIN(1,
  K16
  + Inputs!$B$12*E17*(1-Inputs!$B$25)
  + Inputs!$B$10*F17
  - Inputs!$B$11*Inputs!$B$25*(1-E17)
))</f>
        <v>0.92596800000000001</v>
      </c>
      <c r="L17" s="6">
        <f t="shared" ca="1" si="1"/>
        <v>0.42034554666666674</v>
      </c>
      <c r="M17" s="5" t="str">
        <f ca="1">IF(A17&lt;(Inputs!$B$6+Inputs!$B$8-1),"",
IF(COUNTIF(INDEX($L:$L,ROW(L17)-(Inputs!$B$8-1)):L17,"&lt;"&amp;Inputs!$B$7)=Inputs!$B$8,"COLLAPSE",""))</f>
        <v>COLLAPSE</v>
      </c>
    </row>
    <row r="18" spans="1:13" x14ac:dyDescent="0.25">
      <c r="A18" s="6">
        <v>13</v>
      </c>
      <c r="B18" s="6">
        <f ca="1">IFERROR(_xludf.XLOOKUP(A18,Events!$A$5:$A$200,Events!$B$5:$B$200,0),0)</f>
        <v>0</v>
      </c>
      <c r="C18" s="6">
        <f ca="1">MAX(0,MIN(1, AVERAGE(Inputs!$B$15,Inputs!$B$16,Inputs!$B$17) - 0.35*B18*(1+0.6*Inputs!$B$27) ))</f>
        <v>0.80333333333333334</v>
      </c>
      <c r="D18" s="6">
        <f ca="1">MAX(0,MIN(1, D17 - 0.12*E18 + 0.1*Inputs!$B$25*(1-B18) ))</f>
        <v>0.91956000000000049</v>
      </c>
      <c r="E18" s="5">
        <f ca="1">MIN(1, (1-C18)*0.8 + B18*(1+0.8*(1-D17)+0.6*Inputs!$B$27))</f>
        <v>0.15733333333333333</v>
      </c>
      <c r="F18" s="5">
        <f ca="1">IF(L17&lt;Inputs!$B$9,1,0)</f>
        <v>1</v>
      </c>
      <c r="G18" s="5">
        <f ca="1">MAX(0,MIN(1, G17 + Inputs!$B$12*E18*(1-Inputs!$B$24) + Inputs!$B$10*F18 - Inputs!$B$11*Inputs!$B$24*(1-E18) ))</f>
        <v>1</v>
      </c>
      <c r="H18" s="5">
        <f ca="1">MAX(0,MIN(1,
  H17
  + Inputs!$B$12*E18*(1-Inputs!$B$21)
  + Inputs!$B$10*F18
  - Inputs!$B$11*Inputs!$B$21*(1-E18)
))</f>
        <v>1</v>
      </c>
      <c r="I18" s="5">
        <f ca="1">MAX(0,MIN(1,
  I17
  + Inputs!$B$12*E18*(1-Inputs!$B$22)
  + Inputs!$B$10*F18
  - Inputs!$B$11*Inputs!$B$22*(1-E18)
))</f>
        <v>1</v>
      </c>
      <c r="J18" s="5">
        <f ca="1">MAX(0,MIN(1,
  J17
  + Inputs!$B$12*E18*(1-Inputs!$B$23)
  + Inputs!$B$10*F18
  - Inputs!$B$11*Inputs!$B$23*(1-E18)
))</f>
        <v>1</v>
      </c>
      <c r="K18" s="5">
        <f ca="1">MAX(0,MIN(1,
  K17
  + Inputs!$B$12*E18*(1-Inputs!$B$25)
  + Inputs!$B$10*F18
  - Inputs!$B$11*Inputs!$B$25*(1-E18)
))</f>
        <v>1</v>
      </c>
      <c r="L18" s="6">
        <f t="shared" ca="1" si="1"/>
        <v>0.41910066666666673</v>
      </c>
      <c r="M18" s="5" t="str">
        <f ca="1">IF(A18&lt;(Inputs!$B$6+Inputs!$B$8-1),"",
IF(COUNTIF(INDEX($L:$L,ROW(L18)-(Inputs!$B$8-1)):L18,"&lt;"&amp;Inputs!$B$7)=Inputs!$B$8,"COLLAPSE",""))</f>
        <v>COLLAPSE</v>
      </c>
    </row>
    <row r="19" spans="1:13" x14ac:dyDescent="0.25">
      <c r="A19" s="6">
        <v>14</v>
      </c>
      <c r="B19" s="6">
        <f ca="1">IFERROR(_xludf.XLOOKUP(A19,Events!$A$5:$A$200,Events!$B$5:$B$200,0),0)</f>
        <v>0</v>
      </c>
      <c r="C19" s="6">
        <f ca="1">MAX(0,MIN(1, AVERAGE(Inputs!$B$15,Inputs!$B$16,Inputs!$B$17) - 0.35*B19*(1+0.6*Inputs!$B$27) ))</f>
        <v>0.80333333333333334</v>
      </c>
      <c r="D19" s="6">
        <f ca="1">MAX(0,MIN(1, D18 - 0.12*E19 + 0.1*Inputs!$B$25*(1-B19) ))</f>
        <v>0.95568000000000053</v>
      </c>
      <c r="E19" s="5">
        <f ca="1">MIN(1, (1-C19)*0.8 + B19*(1+0.8*(1-D18)+0.6*Inputs!$B$27))</f>
        <v>0.15733333333333333</v>
      </c>
      <c r="F19" s="5">
        <f ca="1">IF(L18&lt;Inputs!$B$9,1,0)</f>
        <v>1</v>
      </c>
      <c r="G19" s="5">
        <f ca="1">MAX(0,MIN(1, G18 + Inputs!$B$12*E19*(1-Inputs!$B$24) + Inputs!$B$10*F19 - Inputs!$B$11*Inputs!$B$24*(1-E19) ))</f>
        <v>1</v>
      </c>
      <c r="H19" s="5">
        <f ca="1">MAX(0,MIN(1,
  H18
  + Inputs!$B$12*E19*(1-Inputs!$B$21)
  + Inputs!$B$10*F19
  - Inputs!$B$11*Inputs!$B$21*(1-E19)
))</f>
        <v>1</v>
      </c>
      <c r="I19" s="5">
        <f ca="1">MAX(0,MIN(1,
  I18
  + Inputs!$B$12*E19*(1-Inputs!$B$22)
  + Inputs!$B$10*F19
  - Inputs!$B$11*Inputs!$B$22*(1-E19)
))</f>
        <v>1</v>
      </c>
      <c r="J19" s="5">
        <f ca="1">MAX(0,MIN(1,
  J18
  + Inputs!$B$12*E19*(1-Inputs!$B$23)
  + Inputs!$B$10*F19
  - Inputs!$B$11*Inputs!$B$23*(1-E19)
))</f>
        <v>1</v>
      </c>
      <c r="K19" s="5">
        <f ca="1">MAX(0,MIN(1,
  K18
  + Inputs!$B$12*E19*(1-Inputs!$B$25)
  + Inputs!$B$10*F19
  - Inputs!$B$11*Inputs!$B$25*(1-E19)
))</f>
        <v>1</v>
      </c>
      <c r="L19" s="6">
        <f t="shared" ca="1" si="1"/>
        <v>0.42451866666666671</v>
      </c>
      <c r="M19" s="5" t="str">
        <f ca="1">IF(A19&lt;(Inputs!$B$6+Inputs!$B$8-1),"",
IF(COUNTIF(INDEX($L:$L,ROW(L19)-(Inputs!$B$8-1)):L19,"&lt;"&amp;Inputs!$B$7)=Inputs!$B$8,"COLLAPSE",""))</f>
        <v>COLLAPSE</v>
      </c>
    </row>
    <row r="20" spans="1:13" x14ac:dyDescent="0.25">
      <c r="A20" s="6">
        <v>15</v>
      </c>
      <c r="B20" s="6">
        <f ca="1">IFERROR(_xludf.XLOOKUP(A20,Events!$A$5:$A$200,Events!$B$5:$B$200,0),0)</f>
        <v>0</v>
      </c>
      <c r="C20" s="6">
        <f ca="1">MAX(0,MIN(1, AVERAGE(Inputs!$B$15,Inputs!$B$16,Inputs!$B$17) - 0.35*B20*(1+0.6*Inputs!$B$27) ))</f>
        <v>0.80333333333333334</v>
      </c>
      <c r="D20" s="6">
        <f ca="1">MAX(0,MIN(1, D19 - 0.12*E20 + 0.1*Inputs!$B$25*(1-B20) ))</f>
        <v>0.99180000000000057</v>
      </c>
      <c r="E20" s="5">
        <f ca="1">MIN(1, (1-C20)*0.8 + B20*(1+0.8*(1-D19)+0.6*Inputs!$B$27))</f>
        <v>0.15733333333333333</v>
      </c>
      <c r="F20" s="5">
        <f ca="1">IF(L19&lt;Inputs!$B$9,1,0)</f>
        <v>1</v>
      </c>
      <c r="G20" s="5">
        <f ca="1">MAX(0,MIN(1, G19 + Inputs!$B$12*E20*(1-Inputs!$B$24) + Inputs!$B$10*F20 - Inputs!$B$11*Inputs!$B$24*(1-E20) ))</f>
        <v>1</v>
      </c>
      <c r="H20" s="5">
        <f ca="1">MAX(0,MIN(1,
  H19
  + Inputs!$B$12*E20*(1-Inputs!$B$21)
  + Inputs!$B$10*F20
  - Inputs!$B$11*Inputs!$B$21*(1-E20)
))</f>
        <v>1</v>
      </c>
      <c r="I20" s="5">
        <f ca="1">MAX(0,MIN(1,
  I19
  + Inputs!$B$12*E20*(1-Inputs!$B$22)
  + Inputs!$B$10*F20
  - Inputs!$B$11*Inputs!$B$22*(1-E20)
))</f>
        <v>1</v>
      </c>
      <c r="J20" s="5">
        <f ca="1">MAX(0,MIN(1,
  J19
  + Inputs!$B$12*E20*(1-Inputs!$B$23)
  + Inputs!$B$10*F20
  - Inputs!$B$11*Inputs!$B$23*(1-E20)
))</f>
        <v>1</v>
      </c>
      <c r="K20" s="5">
        <f ca="1">MAX(0,MIN(1,
  K19
  + Inputs!$B$12*E20*(1-Inputs!$B$25)
  + Inputs!$B$10*F20
  - Inputs!$B$11*Inputs!$B$25*(1-E20)
))</f>
        <v>1</v>
      </c>
      <c r="L20" s="6">
        <f t="shared" ca="1" si="1"/>
        <v>0.42993666666666674</v>
      </c>
      <c r="M20" s="5" t="str">
        <f ca="1">IF(A20&lt;(Inputs!$B$6+Inputs!$B$8-1),"",
IF(COUNTIF(INDEX($L:$L,ROW(L20)-(Inputs!$B$8-1)):L20,"&lt;"&amp;Inputs!$B$7)=Inputs!$B$8,"COLLAPSE",""))</f>
        <v>COLLAPSE</v>
      </c>
    </row>
    <row r="21" spans="1:13" x14ac:dyDescent="0.25">
      <c r="A21" s="6">
        <v>16</v>
      </c>
      <c r="B21" s="6">
        <f ca="1">IFERROR(_xludf.XLOOKUP(A21,Events!$A$5:$A$200,Events!$B$5:$B$200,0),0)</f>
        <v>0</v>
      </c>
      <c r="C21" s="6">
        <f ca="1">MAX(0,MIN(1, AVERAGE(Inputs!$B$15,Inputs!$B$16,Inputs!$B$17) - 0.35*B21*(1+0.6*Inputs!$B$27) ))</f>
        <v>0.80333333333333334</v>
      </c>
      <c r="D21" s="6">
        <f ca="1">MAX(0,MIN(1, D20 - 0.12*E21 + 0.1*Inputs!$B$25*(1-B21) ))</f>
        <v>1</v>
      </c>
      <c r="E21" s="5">
        <f ca="1">MIN(1, (1-C21)*0.8 + B21*(1+0.8*(1-D20)+0.6*Inputs!$B$27))</f>
        <v>0.15733333333333333</v>
      </c>
      <c r="F21" s="5">
        <f ca="1">IF(L20&lt;Inputs!$B$9,1,0)</f>
        <v>1</v>
      </c>
      <c r="G21" s="5">
        <f ca="1">MAX(0,MIN(1, G20 + Inputs!$B$12*E21*(1-Inputs!$B$24) + Inputs!$B$10*F21 - Inputs!$B$11*Inputs!$B$24*(1-E21) ))</f>
        <v>1</v>
      </c>
      <c r="H21" s="5">
        <f ca="1">MAX(0,MIN(1,
  H20
  + Inputs!$B$12*E21*(1-Inputs!$B$21)
  + Inputs!$B$10*F21
  - Inputs!$B$11*Inputs!$B$21*(1-E21)
))</f>
        <v>1</v>
      </c>
      <c r="I21" s="5">
        <f ca="1">MAX(0,MIN(1,
  I20
  + Inputs!$B$12*E21*(1-Inputs!$B$22)
  + Inputs!$B$10*F21
  - Inputs!$B$11*Inputs!$B$22*(1-E21)
))</f>
        <v>1</v>
      </c>
      <c r="J21" s="5">
        <f ca="1">MAX(0,MIN(1,
  J20
  + Inputs!$B$12*E21*(1-Inputs!$B$23)
  + Inputs!$B$10*F21
  - Inputs!$B$11*Inputs!$B$23*(1-E21)
))</f>
        <v>1</v>
      </c>
      <c r="K21" s="5">
        <f ca="1">MAX(0,MIN(1,
  K20
  + Inputs!$B$12*E21*(1-Inputs!$B$25)
  + Inputs!$B$10*F21
  - Inputs!$B$11*Inputs!$B$25*(1-E21)
))</f>
        <v>1</v>
      </c>
      <c r="L21" s="6">
        <f t="shared" ca="1" si="1"/>
        <v>0.4311666666666667</v>
      </c>
      <c r="M21" s="5" t="str">
        <f ca="1">IF(A21&lt;(Inputs!$B$6+Inputs!$B$8-1),"",
IF(COUNTIF(INDEX($L:$L,ROW(L21)-(Inputs!$B$8-1)):L21,"&lt;"&amp;Inputs!$B$7)=Inputs!$B$8,"COLLAPSE",""))</f>
        <v>COLLAPSE</v>
      </c>
    </row>
    <row r="22" spans="1:13" x14ac:dyDescent="0.25">
      <c r="A22" s="6">
        <v>17</v>
      </c>
      <c r="B22" s="6">
        <f ca="1">IFERROR(_xludf.XLOOKUP(A22,Events!$A$5:$A$200,Events!$B$5:$B$200,0),0)</f>
        <v>0</v>
      </c>
      <c r="C22" s="6">
        <f ca="1">MAX(0,MIN(1, AVERAGE(Inputs!$B$15,Inputs!$B$16,Inputs!$B$17) - 0.35*B22*(1+0.6*Inputs!$B$27) ))</f>
        <v>0.80333333333333334</v>
      </c>
      <c r="D22" s="6">
        <f ca="1">MAX(0,MIN(1, D21 - 0.12*E22 + 0.1*Inputs!$B$25*(1-B22) ))</f>
        <v>1</v>
      </c>
      <c r="E22" s="5">
        <f ca="1">MIN(1, (1-C22)*0.8 + B22*(1+0.8*(1-D21)+0.6*Inputs!$B$27))</f>
        <v>0.15733333333333333</v>
      </c>
      <c r="F22" s="5">
        <f ca="1">IF(L21&lt;Inputs!$B$9,1,0)</f>
        <v>1</v>
      </c>
      <c r="G22" s="5">
        <f ca="1">MAX(0,MIN(1, G21 + Inputs!$B$12*E22*(1-Inputs!$B$24) + Inputs!$B$10*F22 - Inputs!$B$11*Inputs!$B$24*(1-E22) ))</f>
        <v>1</v>
      </c>
      <c r="H22" s="5">
        <f ca="1">MAX(0,MIN(1,
  H21
  + Inputs!$B$12*E22*(1-Inputs!$B$21)
  + Inputs!$B$10*F22
  - Inputs!$B$11*Inputs!$B$21*(1-E22)
))</f>
        <v>1</v>
      </c>
      <c r="I22" s="5">
        <f ca="1">MAX(0,MIN(1,
  I21
  + Inputs!$B$12*E22*(1-Inputs!$B$22)
  + Inputs!$B$10*F22
  - Inputs!$B$11*Inputs!$B$22*(1-E22)
))</f>
        <v>1</v>
      </c>
      <c r="J22" s="5">
        <f ca="1">MAX(0,MIN(1,
  J21
  + Inputs!$B$12*E22*(1-Inputs!$B$23)
  + Inputs!$B$10*F22
  - Inputs!$B$11*Inputs!$B$23*(1-E22)
))</f>
        <v>1</v>
      </c>
      <c r="K22" s="5">
        <f ca="1">MAX(0,MIN(1,
  K21
  + Inputs!$B$12*E22*(1-Inputs!$B$25)
  + Inputs!$B$10*F22
  - Inputs!$B$11*Inputs!$B$25*(1-E22)
))</f>
        <v>1</v>
      </c>
      <c r="L22" s="6">
        <f t="shared" ca="1" si="1"/>
        <v>0.4311666666666667</v>
      </c>
      <c r="M22" s="5" t="str">
        <f ca="1">IF(A22&lt;(Inputs!$B$6+Inputs!$B$8-1),"",
IF(COUNTIF(INDEX($L:$L,ROW(L22)-(Inputs!$B$8-1)):L22,"&lt;"&amp;Inputs!$B$7)=Inputs!$B$8,"COLLAPSE",""))</f>
        <v>COLLAPSE</v>
      </c>
    </row>
    <row r="23" spans="1:13" x14ac:dyDescent="0.25">
      <c r="A23" s="6">
        <v>18</v>
      </c>
      <c r="B23" s="6">
        <f ca="1">IFERROR(_xludf.XLOOKUP(A23,Events!$A$5:$A$200,Events!$B$5:$B$200,0),0)</f>
        <v>0</v>
      </c>
      <c r="C23" s="6">
        <f ca="1">MAX(0,MIN(1, AVERAGE(Inputs!$B$15,Inputs!$B$16,Inputs!$B$17) - 0.35*B23*(1+0.6*Inputs!$B$27) ))</f>
        <v>0.80333333333333334</v>
      </c>
      <c r="D23" s="6">
        <f ca="1">MAX(0,MIN(1, D22 - 0.12*E23 + 0.1*Inputs!$B$25*(1-B23) ))</f>
        <v>1</v>
      </c>
      <c r="E23" s="5">
        <f ca="1">MIN(1, (1-C23)*0.8 + B23*(1+0.8*(1-D22)+0.6*Inputs!$B$27))</f>
        <v>0.15733333333333333</v>
      </c>
      <c r="F23" s="5">
        <f ca="1">IF(L22&lt;Inputs!$B$9,1,0)</f>
        <v>1</v>
      </c>
      <c r="G23" s="5">
        <f ca="1">MAX(0,MIN(1, G22 + Inputs!$B$12*E23*(1-Inputs!$B$24) + Inputs!$B$10*F23 - Inputs!$B$11*Inputs!$B$24*(1-E23) ))</f>
        <v>1</v>
      </c>
      <c r="H23" s="5">
        <f ca="1">MAX(0,MIN(1,
  H22
  + Inputs!$B$12*E23*(1-Inputs!$B$21)
  + Inputs!$B$10*F23
  - Inputs!$B$11*Inputs!$B$21*(1-E23)
))</f>
        <v>1</v>
      </c>
      <c r="I23" s="5">
        <f ca="1">MAX(0,MIN(1,
  I22
  + Inputs!$B$12*E23*(1-Inputs!$B$22)
  + Inputs!$B$10*F23
  - Inputs!$B$11*Inputs!$B$22*(1-E23)
))</f>
        <v>1</v>
      </c>
      <c r="J23" s="5">
        <f ca="1">MAX(0,MIN(1,
  J22
  + Inputs!$B$12*E23*(1-Inputs!$B$23)
  + Inputs!$B$10*F23
  - Inputs!$B$11*Inputs!$B$23*(1-E23)
))</f>
        <v>1</v>
      </c>
      <c r="K23" s="5">
        <f ca="1">MAX(0,MIN(1,
  K22
  + Inputs!$B$12*E23*(1-Inputs!$B$25)
  + Inputs!$B$10*F23
  - Inputs!$B$11*Inputs!$B$25*(1-E23)
))</f>
        <v>1</v>
      </c>
      <c r="L23" s="6">
        <f t="shared" ca="1" si="1"/>
        <v>0.4311666666666667</v>
      </c>
      <c r="M23" s="5" t="str">
        <f ca="1">IF(A23&lt;(Inputs!$B$6+Inputs!$B$8-1),"",
IF(COUNTIF(INDEX($L:$L,ROW(L23)-(Inputs!$B$8-1)):L23,"&lt;"&amp;Inputs!$B$7)=Inputs!$B$8,"COLLAPSE",""))</f>
        <v>COLLAPSE</v>
      </c>
    </row>
    <row r="24" spans="1:13" x14ac:dyDescent="0.25">
      <c r="A24" s="6">
        <v>19</v>
      </c>
      <c r="B24" s="6">
        <f ca="1">IFERROR(_xludf.XLOOKUP(A24,Events!$A$5:$A$200,Events!$B$5:$B$200,0),0)</f>
        <v>0</v>
      </c>
      <c r="C24" s="6">
        <f ca="1">MAX(0,MIN(1, AVERAGE(Inputs!$B$15,Inputs!$B$16,Inputs!$B$17) - 0.35*B24*(1+0.6*Inputs!$B$27) ))</f>
        <v>0.80333333333333334</v>
      </c>
      <c r="D24" s="6">
        <f ca="1">MAX(0,MIN(1, D23 - 0.12*E24 + 0.1*Inputs!$B$25*(1-B24) ))</f>
        <v>1</v>
      </c>
      <c r="E24" s="5">
        <f ca="1">MIN(1, (1-C24)*0.8 + B24*(1+0.8*(1-D23)+0.6*Inputs!$B$27))</f>
        <v>0.15733333333333333</v>
      </c>
      <c r="F24" s="5">
        <f ca="1">IF(L23&lt;Inputs!$B$9,1,0)</f>
        <v>1</v>
      </c>
      <c r="G24" s="5">
        <f ca="1">MAX(0,MIN(1, G23 + Inputs!$B$12*E24*(1-Inputs!$B$24) + Inputs!$B$10*F24 - Inputs!$B$11*Inputs!$B$24*(1-E24) ))</f>
        <v>1</v>
      </c>
      <c r="H24" s="5">
        <f ca="1">MAX(0,MIN(1,
  H23
  + Inputs!$B$12*E24*(1-Inputs!$B$21)
  + Inputs!$B$10*F24
  - Inputs!$B$11*Inputs!$B$21*(1-E24)
))</f>
        <v>1</v>
      </c>
      <c r="I24" s="5">
        <f ca="1">MAX(0,MIN(1,
  I23
  + Inputs!$B$12*E24*(1-Inputs!$B$22)
  + Inputs!$B$10*F24
  - Inputs!$B$11*Inputs!$B$22*(1-E24)
))</f>
        <v>1</v>
      </c>
      <c r="J24" s="5">
        <f ca="1">MAX(0,MIN(1,
  J23
  + Inputs!$B$12*E24*(1-Inputs!$B$23)
  + Inputs!$B$10*F24
  - Inputs!$B$11*Inputs!$B$23*(1-E24)
))</f>
        <v>1</v>
      </c>
      <c r="K24" s="5">
        <f ca="1">MAX(0,MIN(1,
  K23
  + Inputs!$B$12*E24*(1-Inputs!$B$25)
  + Inputs!$B$10*F24
  - Inputs!$B$11*Inputs!$B$25*(1-E24)
))</f>
        <v>1</v>
      </c>
      <c r="L24" s="6">
        <f t="shared" ca="1" si="1"/>
        <v>0.4311666666666667</v>
      </c>
      <c r="M24" s="5" t="str">
        <f ca="1">IF(A24&lt;(Inputs!$B$6+Inputs!$B$8-1),"",
IF(COUNTIF(INDEX($L:$L,ROW(L24)-(Inputs!$B$8-1)):L24,"&lt;"&amp;Inputs!$B$7)=Inputs!$B$8,"COLLAPSE",""))</f>
        <v>COLLAPSE</v>
      </c>
    </row>
    <row r="25" spans="1:13" x14ac:dyDescent="0.25">
      <c r="A25" s="6">
        <v>20</v>
      </c>
      <c r="B25" s="6">
        <f ca="1">IFERROR(_xludf.XLOOKUP(A25,Events!$A$5:$A$200,Events!$B$5:$B$200,0),0)</f>
        <v>0</v>
      </c>
      <c r="C25" s="6">
        <f ca="1">MAX(0,MIN(1, AVERAGE(Inputs!$B$15,Inputs!$B$16,Inputs!$B$17) - 0.35*B25*(1+0.6*Inputs!$B$27) ))</f>
        <v>0.80333333333333334</v>
      </c>
      <c r="D25" s="6">
        <f ca="1">MAX(0,MIN(1, D24 - 0.12*E25 + 0.1*Inputs!$B$25*(1-B25) ))</f>
        <v>1</v>
      </c>
      <c r="E25" s="5">
        <f ca="1">MIN(1, (1-C25)*0.8 + B25*(1+0.8*(1-D24)+0.6*Inputs!$B$27))</f>
        <v>0.15733333333333333</v>
      </c>
      <c r="F25" s="5">
        <f ca="1">IF(L24&lt;Inputs!$B$9,1,0)</f>
        <v>1</v>
      </c>
      <c r="G25" s="5">
        <f ca="1">MAX(0,MIN(1, G24 + Inputs!$B$12*E25*(1-Inputs!$B$24) + Inputs!$B$10*F25 - Inputs!$B$11*Inputs!$B$24*(1-E25) ))</f>
        <v>1</v>
      </c>
      <c r="H25" s="5">
        <f ca="1">MAX(0,MIN(1,
  H24
  + Inputs!$B$12*E25*(1-Inputs!$B$21)
  + Inputs!$B$10*F25
  - Inputs!$B$11*Inputs!$B$21*(1-E25)
))</f>
        <v>1</v>
      </c>
      <c r="I25" s="5">
        <f ca="1">MAX(0,MIN(1,
  I24
  + Inputs!$B$12*E25*(1-Inputs!$B$22)
  + Inputs!$B$10*F25
  - Inputs!$B$11*Inputs!$B$22*(1-E25)
))</f>
        <v>1</v>
      </c>
      <c r="J25" s="5">
        <f ca="1">MAX(0,MIN(1,
  J24
  + Inputs!$B$12*E25*(1-Inputs!$B$23)
  + Inputs!$B$10*F25
  - Inputs!$B$11*Inputs!$B$23*(1-E25)
))</f>
        <v>1</v>
      </c>
      <c r="K25" s="5">
        <f ca="1">MAX(0,MIN(1,
  K24
  + Inputs!$B$12*E25*(1-Inputs!$B$25)
  + Inputs!$B$10*F25
  - Inputs!$B$11*Inputs!$B$25*(1-E25)
))</f>
        <v>1</v>
      </c>
      <c r="L25" s="6">
        <f t="shared" ca="1" si="1"/>
        <v>0.4311666666666667</v>
      </c>
      <c r="M25" s="5" t="str">
        <f ca="1">IF(A25&lt;(Inputs!$B$6+Inputs!$B$8-1),"",
IF(COUNTIF(INDEX($L:$L,ROW(L25)-(Inputs!$B$8-1)):L25,"&lt;"&amp;Inputs!$B$7)=Inputs!$B$8,"COLLAPSE",""))</f>
        <v>COLLAPSE</v>
      </c>
    </row>
    <row r="26" spans="1:13" x14ac:dyDescent="0.25">
      <c r="A26" s="6">
        <v>21</v>
      </c>
      <c r="B26" s="6">
        <f ca="1">IFERROR(_xludf.XLOOKUP(A26,Events!$A$5:$A$200,Events!$B$5:$B$200,0),0)</f>
        <v>0</v>
      </c>
      <c r="C26" s="6">
        <f ca="1">MAX(0,MIN(1, AVERAGE(Inputs!$B$15,Inputs!$B$16,Inputs!$B$17) - 0.35*B26*(1+0.6*Inputs!$B$27) ))</f>
        <v>0.80333333333333334</v>
      </c>
      <c r="D26" s="6">
        <f ca="1">MAX(0,MIN(1, D25 - 0.12*E26 + 0.1*Inputs!$B$25*(1-B26) ))</f>
        <v>1</v>
      </c>
      <c r="E26" s="5">
        <f ca="1">MIN(1, (1-C26)*0.8 + B26*(1+0.8*(1-D25)+0.6*Inputs!$B$27))</f>
        <v>0.15733333333333333</v>
      </c>
      <c r="F26" s="5">
        <f ca="1">IF(L25&lt;Inputs!$B$9,1,0)</f>
        <v>1</v>
      </c>
      <c r="G26" s="5">
        <f ca="1">MAX(0,MIN(1, G25 + Inputs!$B$12*E26*(1-Inputs!$B$24) + Inputs!$B$10*F26 - Inputs!$B$11*Inputs!$B$24*(1-E26) ))</f>
        <v>1</v>
      </c>
      <c r="H26" s="5">
        <f ca="1">MAX(0,MIN(1,
  H25
  + Inputs!$B$12*E26*(1-Inputs!$B$21)
  + Inputs!$B$10*F26
  - Inputs!$B$11*Inputs!$B$21*(1-E26)
))</f>
        <v>1</v>
      </c>
      <c r="I26" s="5">
        <f ca="1">MAX(0,MIN(1,
  I25
  + Inputs!$B$12*E26*(1-Inputs!$B$22)
  + Inputs!$B$10*F26
  - Inputs!$B$11*Inputs!$B$22*(1-E26)
))</f>
        <v>1</v>
      </c>
      <c r="J26" s="5">
        <f ca="1">MAX(0,MIN(1,
  J25
  + Inputs!$B$12*E26*(1-Inputs!$B$23)
  + Inputs!$B$10*F26
  - Inputs!$B$11*Inputs!$B$23*(1-E26)
))</f>
        <v>1</v>
      </c>
      <c r="K26" s="5">
        <f ca="1">MAX(0,MIN(1,
  K25
  + Inputs!$B$12*E26*(1-Inputs!$B$25)
  + Inputs!$B$10*F26
  - Inputs!$B$11*Inputs!$B$25*(1-E26)
))</f>
        <v>1</v>
      </c>
      <c r="L26" s="6">
        <f t="shared" ca="1" si="1"/>
        <v>0.4311666666666667</v>
      </c>
      <c r="M26" s="5" t="str">
        <f ca="1">IF(A26&lt;(Inputs!$B$6+Inputs!$B$8-1),"",
IF(COUNTIF(INDEX($L:$L,ROW(L26)-(Inputs!$B$8-1)):L26,"&lt;"&amp;Inputs!$B$7)=Inputs!$B$8,"COLLAPSE",""))</f>
        <v>COLLAPSE</v>
      </c>
    </row>
    <row r="27" spans="1:13" x14ac:dyDescent="0.25">
      <c r="A27" s="6">
        <v>22</v>
      </c>
      <c r="B27" s="6">
        <f ca="1">IFERROR(_xludf.XLOOKUP(A27,Events!$A$5:$A$200,Events!$B$5:$B$200,0),0)</f>
        <v>0</v>
      </c>
      <c r="C27" s="6">
        <f ca="1">MAX(0,MIN(1, AVERAGE(Inputs!$B$15,Inputs!$B$16,Inputs!$B$17) - 0.35*B27*(1+0.6*Inputs!$B$27) ))</f>
        <v>0.80333333333333334</v>
      </c>
      <c r="D27" s="6">
        <f ca="1">MAX(0,MIN(1, D26 - 0.12*E27 + 0.1*Inputs!$B$25*(1-B27) ))</f>
        <v>1</v>
      </c>
      <c r="E27" s="5">
        <f ca="1">MIN(1, (1-C27)*0.8 + B27*(1+0.8*(1-D26)+0.6*Inputs!$B$27))</f>
        <v>0.15733333333333333</v>
      </c>
      <c r="F27" s="5">
        <f ca="1">IF(L26&lt;Inputs!$B$9,1,0)</f>
        <v>1</v>
      </c>
      <c r="G27" s="5">
        <f ca="1">MAX(0,MIN(1, G26 + Inputs!$B$12*E27*(1-Inputs!$B$24) + Inputs!$B$10*F27 - Inputs!$B$11*Inputs!$B$24*(1-E27) ))</f>
        <v>1</v>
      </c>
      <c r="H27" s="5">
        <f ca="1">MAX(0,MIN(1,
  H26
  + Inputs!$B$12*E27*(1-Inputs!$B$21)
  + Inputs!$B$10*F27
  - Inputs!$B$11*Inputs!$B$21*(1-E27)
))</f>
        <v>1</v>
      </c>
      <c r="I27" s="5">
        <f ca="1">MAX(0,MIN(1,
  I26
  + Inputs!$B$12*E27*(1-Inputs!$B$22)
  + Inputs!$B$10*F27
  - Inputs!$B$11*Inputs!$B$22*(1-E27)
))</f>
        <v>1</v>
      </c>
      <c r="J27" s="5">
        <f ca="1">MAX(0,MIN(1,
  J26
  + Inputs!$B$12*E27*(1-Inputs!$B$23)
  + Inputs!$B$10*F27
  - Inputs!$B$11*Inputs!$B$23*(1-E27)
))</f>
        <v>1</v>
      </c>
      <c r="K27" s="5">
        <f ca="1">MAX(0,MIN(1,
  K26
  + Inputs!$B$12*E27*(1-Inputs!$B$25)
  + Inputs!$B$10*F27
  - Inputs!$B$11*Inputs!$B$25*(1-E27)
))</f>
        <v>1</v>
      </c>
      <c r="L27" s="6">
        <f t="shared" ca="1" si="1"/>
        <v>0.4311666666666667</v>
      </c>
      <c r="M27" s="5" t="str">
        <f ca="1">IF(A27&lt;(Inputs!$B$6+Inputs!$B$8-1),"",
IF(COUNTIF(INDEX($L:$L,ROW(L27)-(Inputs!$B$8-1)):L27,"&lt;"&amp;Inputs!$B$7)=Inputs!$B$8,"COLLAPSE",""))</f>
        <v>COLLAPSE</v>
      </c>
    </row>
    <row r="28" spans="1:13" x14ac:dyDescent="0.25">
      <c r="A28" s="6">
        <v>23</v>
      </c>
      <c r="B28" s="6">
        <f ca="1">IFERROR(_xludf.XLOOKUP(A28,Events!$A$5:$A$200,Events!$B$5:$B$200,0),0)</f>
        <v>0</v>
      </c>
      <c r="C28" s="6">
        <f ca="1">MAX(0,MIN(1, AVERAGE(Inputs!$B$15,Inputs!$B$16,Inputs!$B$17) - 0.35*B28*(1+0.6*Inputs!$B$27) ))</f>
        <v>0.80333333333333334</v>
      </c>
      <c r="D28" s="6">
        <f ca="1">MAX(0,MIN(1, D27 - 0.12*E28 + 0.1*Inputs!$B$25*(1-B28) ))</f>
        <v>1</v>
      </c>
      <c r="E28" s="5">
        <f ca="1">MIN(1, (1-C28)*0.8 + B28*(1+0.8*(1-D27)+0.6*Inputs!$B$27))</f>
        <v>0.15733333333333333</v>
      </c>
      <c r="F28" s="5">
        <f ca="1">IF(L27&lt;Inputs!$B$9,1,0)</f>
        <v>1</v>
      </c>
      <c r="G28" s="5">
        <f ca="1">MAX(0,MIN(1, G27 + Inputs!$B$12*E28*(1-Inputs!$B$24) + Inputs!$B$10*F28 - Inputs!$B$11*Inputs!$B$24*(1-E28) ))</f>
        <v>1</v>
      </c>
      <c r="H28" s="5">
        <f ca="1">MAX(0,MIN(1,
  H27
  + Inputs!$B$12*E28*(1-Inputs!$B$21)
  + Inputs!$B$10*F28
  - Inputs!$B$11*Inputs!$B$21*(1-E28)
))</f>
        <v>1</v>
      </c>
      <c r="I28" s="5">
        <f ca="1">MAX(0,MIN(1,
  I27
  + Inputs!$B$12*E28*(1-Inputs!$B$22)
  + Inputs!$B$10*F28
  - Inputs!$B$11*Inputs!$B$22*(1-E28)
))</f>
        <v>1</v>
      </c>
      <c r="J28" s="5">
        <f ca="1">MAX(0,MIN(1,
  J27
  + Inputs!$B$12*E28*(1-Inputs!$B$23)
  + Inputs!$B$10*F28
  - Inputs!$B$11*Inputs!$B$23*(1-E28)
))</f>
        <v>1</v>
      </c>
      <c r="K28" s="5">
        <f ca="1">MAX(0,MIN(1,
  K27
  + Inputs!$B$12*E28*(1-Inputs!$B$25)
  + Inputs!$B$10*F28
  - Inputs!$B$11*Inputs!$B$25*(1-E28)
))</f>
        <v>1</v>
      </c>
      <c r="L28" s="6">
        <f t="shared" ca="1" si="1"/>
        <v>0.4311666666666667</v>
      </c>
      <c r="M28" s="5" t="str">
        <f ca="1">IF(A28&lt;(Inputs!$B$6+Inputs!$B$8-1),"",
IF(COUNTIF(INDEX($L:$L,ROW(L28)-(Inputs!$B$8-1)):L28,"&lt;"&amp;Inputs!$B$7)=Inputs!$B$8,"COLLAPSE",""))</f>
        <v>COLLAPSE</v>
      </c>
    </row>
    <row r="29" spans="1:13" x14ac:dyDescent="0.25">
      <c r="A29" s="6">
        <v>24</v>
      </c>
      <c r="B29" s="6">
        <f ca="1">IFERROR(_xludf.XLOOKUP(A29,Events!$A$5:$A$200,Events!$B$5:$B$200,0),0)</f>
        <v>0</v>
      </c>
      <c r="C29" s="6">
        <f ca="1">MAX(0,MIN(1, AVERAGE(Inputs!$B$15,Inputs!$B$16,Inputs!$B$17) - 0.35*B29*(1+0.6*Inputs!$B$27) ))</f>
        <v>0.80333333333333334</v>
      </c>
      <c r="D29" s="6">
        <f ca="1">MAX(0,MIN(1, D28 - 0.12*E29 + 0.1*Inputs!$B$25*(1-B29) ))</f>
        <v>1</v>
      </c>
      <c r="E29" s="5">
        <f ca="1">MIN(1, (1-C29)*0.8 + B29*(1+0.8*(1-D28)+0.6*Inputs!$B$27))</f>
        <v>0.15733333333333333</v>
      </c>
      <c r="F29" s="5">
        <f ca="1">IF(L28&lt;Inputs!$B$9,1,0)</f>
        <v>1</v>
      </c>
      <c r="G29" s="5">
        <f ca="1">MAX(0,MIN(1, G28 + Inputs!$B$12*E29*(1-Inputs!$B$24) + Inputs!$B$10*F29 - Inputs!$B$11*Inputs!$B$24*(1-E29) ))</f>
        <v>1</v>
      </c>
      <c r="H29" s="5">
        <f ca="1">MAX(0,MIN(1,
  H28
  + Inputs!$B$12*E29*(1-Inputs!$B$21)
  + Inputs!$B$10*F29
  - Inputs!$B$11*Inputs!$B$21*(1-E29)
))</f>
        <v>1</v>
      </c>
      <c r="I29" s="5">
        <f ca="1">MAX(0,MIN(1,
  I28
  + Inputs!$B$12*E29*(1-Inputs!$B$22)
  + Inputs!$B$10*F29
  - Inputs!$B$11*Inputs!$B$22*(1-E29)
))</f>
        <v>1</v>
      </c>
      <c r="J29" s="5">
        <f ca="1">MAX(0,MIN(1,
  J28
  + Inputs!$B$12*E29*(1-Inputs!$B$23)
  + Inputs!$B$10*F29
  - Inputs!$B$11*Inputs!$B$23*(1-E29)
))</f>
        <v>1</v>
      </c>
      <c r="K29" s="5">
        <f ca="1">MAX(0,MIN(1,
  K28
  + Inputs!$B$12*E29*(1-Inputs!$B$25)
  + Inputs!$B$10*F29
  - Inputs!$B$11*Inputs!$B$25*(1-E29)
))</f>
        <v>1</v>
      </c>
      <c r="L29" s="6">
        <f t="shared" ca="1" si="1"/>
        <v>0.4311666666666667</v>
      </c>
      <c r="M29" s="5" t="str">
        <f ca="1">IF(A29&lt;(Inputs!$B$6+Inputs!$B$8-1),"",
IF(COUNTIF(INDEX($L:$L,ROW(L29)-(Inputs!$B$8-1)):L29,"&lt;"&amp;Inputs!$B$7)=Inputs!$B$8,"COLLAPSE",""))</f>
        <v>COLLAPSE</v>
      </c>
    </row>
    <row r="30" spans="1:13" x14ac:dyDescent="0.25">
      <c r="A30" s="6">
        <v>25</v>
      </c>
      <c r="B30" s="6">
        <f ca="1">IFERROR(_xludf.XLOOKUP(A30,Events!$A$5:$A$200,Events!$B$5:$B$200,0),0)</f>
        <v>0</v>
      </c>
      <c r="C30" s="6">
        <f ca="1">MAX(0,MIN(1, AVERAGE(Inputs!$B$15,Inputs!$B$16,Inputs!$B$17) - 0.35*B30*(1+0.6*Inputs!$B$27) ))</f>
        <v>0.80333333333333334</v>
      </c>
      <c r="D30" s="6">
        <f ca="1">MAX(0,MIN(1, D29 - 0.12*E30 + 0.1*Inputs!$B$25*(1-B30) ))</f>
        <v>1</v>
      </c>
      <c r="E30" s="5">
        <f ca="1">MIN(1, (1-C30)*0.8 + B30*(1+0.8*(1-D29)+0.6*Inputs!$B$27))</f>
        <v>0.15733333333333333</v>
      </c>
      <c r="F30" s="5">
        <f ca="1">IF(L29&lt;Inputs!$B$9,1,0)</f>
        <v>1</v>
      </c>
      <c r="G30" s="5">
        <f ca="1">MAX(0,MIN(1, G29 + Inputs!$B$12*E30*(1-Inputs!$B$24) + Inputs!$B$10*F30 - Inputs!$B$11*Inputs!$B$24*(1-E30) ))</f>
        <v>1</v>
      </c>
      <c r="H30" s="5">
        <f ca="1">MAX(0,MIN(1,
  H29
  + Inputs!$B$12*E30*(1-Inputs!$B$21)
  + Inputs!$B$10*F30
  - Inputs!$B$11*Inputs!$B$21*(1-E30)
))</f>
        <v>1</v>
      </c>
      <c r="I30" s="5">
        <f ca="1">MAX(0,MIN(1,
  I29
  + Inputs!$B$12*E30*(1-Inputs!$B$22)
  + Inputs!$B$10*F30
  - Inputs!$B$11*Inputs!$B$22*(1-E30)
))</f>
        <v>1</v>
      </c>
      <c r="J30" s="5">
        <f ca="1">MAX(0,MIN(1,
  J29
  + Inputs!$B$12*E30*(1-Inputs!$B$23)
  + Inputs!$B$10*F30
  - Inputs!$B$11*Inputs!$B$23*(1-E30)
))</f>
        <v>1</v>
      </c>
      <c r="K30" s="5">
        <f ca="1">MAX(0,MIN(1,
  K29
  + Inputs!$B$12*E30*(1-Inputs!$B$25)
  + Inputs!$B$10*F30
  - Inputs!$B$11*Inputs!$B$25*(1-E30)
))</f>
        <v>1</v>
      </c>
      <c r="L30" s="6">
        <f t="shared" ca="1" si="1"/>
        <v>0.4311666666666667</v>
      </c>
      <c r="M30" s="5" t="str">
        <f ca="1">IF(A30&lt;(Inputs!$B$6+Inputs!$B$8-1),"",
IF(COUNTIF(INDEX($L:$L,ROW(L30)-(Inputs!$B$8-1)):L30,"&lt;"&amp;Inputs!$B$7)=Inputs!$B$8,"COLLAPSE",""))</f>
        <v>COLLAPSE</v>
      </c>
    </row>
    <row r="31" spans="1:13" x14ac:dyDescent="0.25">
      <c r="A31" s="6">
        <v>26</v>
      </c>
      <c r="B31" s="6">
        <f ca="1">IFERROR(_xludf.XLOOKUP(A31,Events!$A$5:$A$200,Events!$B$5:$B$200,0),0)</f>
        <v>0</v>
      </c>
      <c r="C31" s="6">
        <f ca="1">MAX(0,MIN(1, AVERAGE(Inputs!$B$15,Inputs!$B$16,Inputs!$B$17) - 0.35*B31*(1+0.6*Inputs!$B$27) ))</f>
        <v>0.80333333333333334</v>
      </c>
      <c r="D31" s="6">
        <f ca="1">MAX(0,MIN(1, D30 - 0.12*E31 + 0.1*Inputs!$B$25*(1-B31) ))</f>
        <v>1</v>
      </c>
      <c r="E31" s="5">
        <f ca="1">MIN(1, (1-C31)*0.8 + B31*(1+0.8*(1-D30)+0.6*Inputs!$B$27))</f>
        <v>0.15733333333333333</v>
      </c>
      <c r="F31" s="5">
        <f ca="1">IF(L30&lt;Inputs!$B$9,1,0)</f>
        <v>1</v>
      </c>
      <c r="G31" s="5">
        <f ca="1">MAX(0,MIN(1, G30 + Inputs!$B$12*E31*(1-Inputs!$B$24) + Inputs!$B$10*F31 - Inputs!$B$11*Inputs!$B$24*(1-E31) ))</f>
        <v>1</v>
      </c>
      <c r="H31" s="5">
        <f ca="1">MAX(0,MIN(1,
  H30
  + Inputs!$B$12*E31*(1-Inputs!$B$21)
  + Inputs!$B$10*F31
  - Inputs!$B$11*Inputs!$B$21*(1-E31)
))</f>
        <v>1</v>
      </c>
      <c r="I31" s="5">
        <f ca="1">MAX(0,MIN(1,
  I30
  + Inputs!$B$12*E31*(1-Inputs!$B$22)
  + Inputs!$B$10*F31
  - Inputs!$B$11*Inputs!$B$22*(1-E31)
))</f>
        <v>1</v>
      </c>
      <c r="J31" s="5">
        <f ca="1">MAX(0,MIN(1,
  J30
  + Inputs!$B$12*E31*(1-Inputs!$B$23)
  + Inputs!$B$10*F31
  - Inputs!$B$11*Inputs!$B$23*(1-E31)
))</f>
        <v>1</v>
      </c>
      <c r="K31" s="5">
        <f ca="1">MAX(0,MIN(1,
  K30
  + Inputs!$B$12*E31*(1-Inputs!$B$25)
  + Inputs!$B$10*F31
  - Inputs!$B$11*Inputs!$B$25*(1-E31)
))</f>
        <v>1</v>
      </c>
      <c r="L31" s="6">
        <f t="shared" ca="1" si="1"/>
        <v>0.4311666666666667</v>
      </c>
      <c r="M31" s="5" t="str">
        <f ca="1">IF(A31&lt;(Inputs!$B$6+Inputs!$B$8-1),"",
IF(COUNTIF(INDEX($L:$L,ROW(L31)-(Inputs!$B$8-1)):L31,"&lt;"&amp;Inputs!$B$7)=Inputs!$B$8,"COLLAPSE",""))</f>
        <v>COLLAPSE</v>
      </c>
    </row>
    <row r="32" spans="1:13" x14ac:dyDescent="0.25">
      <c r="A32" s="6">
        <v>27</v>
      </c>
      <c r="B32" s="6">
        <f ca="1">IFERROR(_xludf.XLOOKUP(A32,Events!$A$5:$A$200,Events!$B$5:$B$200,0),0)</f>
        <v>0</v>
      </c>
      <c r="C32" s="6">
        <f ca="1">MAX(0,MIN(1, AVERAGE(Inputs!$B$15,Inputs!$B$16,Inputs!$B$17) - 0.35*B32*(1+0.6*Inputs!$B$27) ))</f>
        <v>0.80333333333333334</v>
      </c>
      <c r="D32" s="6">
        <f ca="1">MAX(0,MIN(1, D31 - 0.12*E32 + 0.1*Inputs!$B$25*(1-B32) ))</f>
        <v>1</v>
      </c>
      <c r="E32" s="5">
        <f ca="1">MIN(1, (1-C32)*0.8 + B32*(1+0.8*(1-D31)+0.6*Inputs!$B$27))</f>
        <v>0.15733333333333333</v>
      </c>
      <c r="F32" s="5">
        <f ca="1">IF(L31&lt;Inputs!$B$9,1,0)</f>
        <v>1</v>
      </c>
      <c r="G32" s="5">
        <f ca="1">MAX(0,MIN(1, G31 + Inputs!$B$12*E32*(1-Inputs!$B$24) + Inputs!$B$10*F32 - Inputs!$B$11*Inputs!$B$24*(1-E32) ))</f>
        <v>1</v>
      </c>
      <c r="H32" s="5">
        <f ca="1">MAX(0,MIN(1,
  H31
  + Inputs!$B$12*E32*(1-Inputs!$B$21)
  + Inputs!$B$10*F32
  - Inputs!$B$11*Inputs!$B$21*(1-E32)
))</f>
        <v>1</v>
      </c>
      <c r="I32" s="5">
        <f ca="1">MAX(0,MIN(1,
  I31
  + Inputs!$B$12*E32*(1-Inputs!$B$22)
  + Inputs!$B$10*F32
  - Inputs!$B$11*Inputs!$B$22*(1-E32)
))</f>
        <v>1</v>
      </c>
      <c r="J32" s="5">
        <f ca="1">MAX(0,MIN(1,
  J31
  + Inputs!$B$12*E32*(1-Inputs!$B$23)
  + Inputs!$B$10*F32
  - Inputs!$B$11*Inputs!$B$23*(1-E32)
))</f>
        <v>1</v>
      </c>
      <c r="K32" s="5">
        <f ca="1">MAX(0,MIN(1,
  K31
  + Inputs!$B$12*E32*(1-Inputs!$B$25)
  + Inputs!$B$10*F32
  - Inputs!$B$11*Inputs!$B$25*(1-E32)
))</f>
        <v>1</v>
      </c>
      <c r="L32" s="6">
        <f t="shared" ca="1" si="1"/>
        <v>0.4311666666666667</v>
      </c>
      <c r="M32" s="5" t="str">
        <f ca="1">IF(A32&lt;(Inputs!$B$6+Inputs!$B$8-1),"",
IF(COUNTIF(INDEX($L:$L,ROW(L32)-(Inputs!$B$8-1)):L32,"&lt;"&amp;Inputs!$B$7)=Inputs!$B$8,"COLLAPSE",""))</f>
        <v>COLLAPSE</v>
      </c>
    </row>
    <row r="33" spans="1:13" x14ac:dyDescent="0.25">
      <c r="A33" s="6">
        <v>28</v>
      </c>
      <c r="B33" s="6">
        <f ca="1">IFERROR(_xludf.XLOOKUP(A33,Events!$A$5:$A$200,Events!$B$5:$B$200,0),0)</f>
        <v>0</v>
      </c>
      <c r="C33" s="6">
        <f ca="1">MAX(0,MIN(1, AVERAGE(Inputs!$B$15,Inputs!$B$16,Inputs!$B$17) - 0.35*B33*(1+0.6*Inputs!$B$27) ))</f>
        <v>0.80333333333333334</v>
      </c>
      <c r="D33" s="6">
        <f ca="1">MAX(0,MIN(1, D32 - 0.12*E33 + 0.1*Inputs!$B$25*(1-B33) ))</f>
        <v>1</v>
      </c>
      <c r="E33" s="5">
        <f ca="1">MIN(1, (1-C33)*0.8 + B33*(1+0.8*(1-D32)+0.6*Inputs!$B$27))</f>
        <v>0.15733333333333333</v>
      </c>
      <c r="F33" s="5">
        <f ca="1">IF(L32&lt;Inputs!$B$9,1,0)</f>
        <v>1</v>
      </c>
      <c r="G33" s="5">
        <f ca="1">MAX(0,MIN(1, G32 + Inputs!$B$12*E33*(1-Inputs!$B$24) + Inputs!$B$10*F33 - Inputs!$B$11*Inputs!$B$24*(1-E33) ))</f>
        <v>1</v>
      </c>
      <c r="H33" s="5">
        <f ca="1">MAX(0,MIN(1,
  H32
  + Inputs!$B$12*E33*(1-Inputs!$B$21)
  + Inputs!$B$10*F33
  - Inputs!$B$11*Inputs!$B$21*(1-E33)
))</f>
        <v>1</v>
      </c>
      <c r="I33" s="5">
        <f ca="1">MAX(0,MIN(1,
  I32
  + Inputs!$B$12*E33*(1-Inputs!$B$22)
  + Inputs!$B$10*F33
  - Inputs!$B$11*Inputs!$B$22*(1-E33)
))</f>
        <v>1</v>
      </c>
      <c r="J33" s="5">
        <f ca="1">MAX(0,MIN(1,
  J32
  + Inputs!$B$12*E33*(1-Inputs!$B$23)
  + Inputs!$B$10*F33
  - Inputs!$B$11*Inputs!$B$23*(1-E33)
))</f>
        <v>1</v>
      </c>
      <c r="K33" s="5">
        <f ca="1">MAX(0,MIN(1,
  K32
  + Inputs!$B$12*E33*(1-Inputs!$B$25)
  + Inputs!$B$10*F33
  - Inputs!$B$11*Inputs!$B$25*(1-E33)
))</f>
        <v>1</v>
      </c>
      <c r="L33" s="6">
        <f t="shared" ca="1" si="1"/>
        <v>0.4311666666666667</v>
      </c>
      <c r="M33" s="5" t="str">
        <f ca="1">IF(A33&lt;(Inputs!$B$6+Inputs!$B$8-1),"",
IF(COUNTIF(INDEX($L:$L,ROW(L33)-(Inputs!$B$8-1)):L33,"&lt;"&amp;Inputs!$B$7)=Inputs!$B$8,"COLLAPSE",""))</f>
        <v>COLLAPSE</v>
      </c>
    </row>
    <row r="34" spans="1:13" x14ac:dyDescent="0.25">
      <c r="A34" s="6">
        <v>29</v>
      </c>
      <c r="B34" s="6">
        <f ca="1">IFERROR(_xludf.XLOOKUP(A34,Events!$A$5:$A$200,Events!$B$5:$B$200,0),0)</f>
        <v>0</v>
      </c>
      <c r="C34" s="6">
        <f ca="1">MAX(0,MIN(1, AVERAGE(Inputs!$B$15,Inputs!$B$16,Inputs!$B$17) - 0.35*B34*(1+0.6*Inputs!$B$27) ))</f>
        <v>0.80333333333333334</v>
      </c>
      <c r="D34" s="6">
        <f ca="1">MAX(0,MIN(1, D33 - 0.12*E34 + 0.1*Inputs!$B$25*(1-B34) ))</f>
        <v>1</v>
      </c>
      <c r="E34" s="5">
        <f ca="1">MIN(1, (1-C34)*0.8 + B34*(1+0.8*(1-D33)+0.6*Inputs!$B$27))</f>
        <v>0.15733333333333333</v>
      </c>
      <c r="F34" s="5">
        <f ca="1">IF(L33&lt;Inputs!$B$9,1,0)</f>
        <v>1</v>
      </c>
      <c r="G34" s="5">
        <f ca="1">MAX(0,MIN(1, G33 + Inputs!$B$12*E34*(1-Inputs!$B$24) + Inputs!$B$10*F34 - Inputs!$B$11*Inputs!$B$24*(1-E34) ))</f>
        <v>1</v>
      </c>
      <c r="H34" s="5">
        <f ca="1">MAX(0,MIN(1,
  H33
  + Inputs!$B$12*E34*(1-Inputs!$B$21)
  + Inputs!$B$10*F34
  - Inputs!$B$11*Inputs!$B$21*(1-E34)
))</f>
        <v>1</v>
      </c>
      <c r="I34" s="5">
        <f ca="1">MAX(0,MIN(1,
  I33
  + Inputs!$B$12*E34*(1-Inputs!$B$22)
  + Inputs!$B$10*F34
  - Inputs!$B$11*Inputs!$B$22*(1-E34)
))</f>
        <v>1</v>
      </c>
      <c r="J34" s="5">
        <f ca="1">MAX(0,MIN(1,
  J33
  + Inputs!$B$12*E34*(1-Inputs!$B$23)
  + Inputs!$B$10*F34
  - Inputs!$B$11*Inputs!$B$23*(1-E34)
))</f>
        <v>1</v>
      </c>
      <c r="K34" s="5">
        <f ca="1">MAX(0,MIN(1,
  K33
  + Inputs!$B$12*E34*(1-Inputs!$B$25)
  + Inputs!$B$10*F34
  - Inputs!$B$11*Inputs!$B$25*(1-E34)
))</f>
        <v>1</v>
      </c>
      <c r="L34" s="6">
        <f t="shared" ca="1" si="1"/>
        <v>0.4311666666666667</v>
      </c>
      <c r="M34" s="5" t="str">
        <f ca="1">IF(A34&lt;(Inputs!$B$6+Inputs!$B$8-1),"",
IF(COUNTIF(INDEX($L:$L,ROW(L34)-(Inputs!$B$8-1)):L34,"&lt;"&amp;Inputs!$B$7)=Inputs!$B$8,"COLLAPSE",""))</f>
        <v>COLLAPSE</v>
      </c>
    </row>
    <row r="35" spans="1:13" x14ac:dyDescent="0.25">
      <c r="A35" s="6">
        <v>30</v>
      </c>
      <c r="B35" s="6">
        <f ca="1">IFERROR(_xludf.XLOOKUP(A35,Events!$A$5:$A$200,Events!$B$5:$B$200,0),0)</f>
        <v>0</v>
      </c>
      <c r="C35" s="6">
        <f ca="1">MAX(0,MIN(1, AVERAGE(Inputs!$B$15,Inputs!$B$16,Inputs!$B$17) - 0.35*B35*(1+0.6*Inputs!$B$27) ))</f>
        <v>0.80333333333333334</v>
      </c>
      <c r="D35" s="6">
        <f ca="1">MAX(0,MIN(1, D34 - 0.12*E35 + 0.1*Inputs!$B$25*(1-B35) ))</f>
        <v>1</v>
      </c>
      <c r="E35" s="5">
        <f ca="1">MIN(1, (1-C35)*0.8 + B35*(1+0.8*(1-D34)+0.6*Inputs!$B$27))</f>
        <v>0.15733333333333333</v>
      </c>
      <c r="F35" s="5">
        <f ca="1">IF(L34&lt;Inputs!$B$9,1,0)</f>
        <v>1</v>
      </c>
      <c r="G35" s="5">
        <f ca="1">MAX(0,MIN(1, G34 + Inputs!$B$12*E35*(1-Inputs!$B$24) + Inputs!$B$10*F35 - Inputs!$B$11*Inputs!$B$24*(1-E35) ))</f>
        <v>1</v>
      </c>
      <c r="H35" s="5">
        <f ca="1">MAX(0,MIN(1,
  H34
  + Inputs!$B$12*E35*(1-Inputs!$B$21)
  + Inputs!$B$10*F35
  - Inputs!$B$11*Inputs!$B$21*(1-E35)
))</f>
        <v>1</v>
      </c>
      <c r="I35" s="5">
        <f ca="1">MAX(0,MIN(1,
  I34
  + Inputs!$B$12*E35*(1-Inputs!$B$22)
  + Inputs!$B$10*F35
  - Inputs!$B$11*Inputs!$B$22*(1-E35)
))</f>
        <v>1</v>
      </c>
      <c r="J35" s="5">
        <f ca="1">MAX(0,MIN(1,
  J34
  + Inputs!$B$12*E35*(1-Inputs!$B$23)
  + Inputs!$B$10*F35
  - Inputs!$B$11*Inputs!$B$23*(1-E35)
))</f>
        <v>1</v>
      </c>
      <c r="K35" s="5">
        <f ca="1">MAX(0,MIN(1,
  K34
  + Inputs!$B$12*E35*(1-Inputs!$B$25)
  + Inputs!$B$10*F35
  - Inputs!$B$11*Inputs!$B$25*(1-E35)
))</f>
        <v>1</v>
      </c>
      <c r="L35" s="6">
        <f t="shared" ca="1" si="1"/>
        <v>0.4311666666666667</v>
      </c>
      <c r="M35" s="5" t="str">
        <f ca="1">IF(A35&lt;(Inputs!$B$6+Inputs!$B$8-1),"",
IF(COUNTIF(INDEX($L:$L,ROW(L35)-(Inputs!$B$8-1)):L35,"&lt;"&amp;Inputs!$B$7)=Inputs!$B$8,"COLLAPSE",""))</f>
        <v>COLLAPSE</v>
      </c>
    </row>
    <row r="36" spans="1:13" x14ac:dyDescent="0.25">
      <c r="A36" s="6">
        <v>31</v>
      </c>
      <c r="B36" s="6">
        <f ca="1">IFERROR(_xludf.XLOOKUP(A36,Events!$A$5:$A$200,Events!$B$5:$B$200,0),0)</f>
        <v>0</v>
      </c>
      <c r="C36" s="6">
        <f ca="1">MAX(0,MIN(1, AVERAGE(Inputs!$B$15,Inputs!$B$16,Inputs!$B$17) - 0.35*B36*(1+0.6*Inputs!$B$27) ))</f>
        <v>0.80333333333333334</v>
      </c>
      <c r="D36" s="6">
        <f ca="1">MAX(0,MIN(1, D35 - 0.12*E36 + 0.1*Inputs!$B$25*(1-B36) ))</f>
        <v>1</v>
      </c>
      <c r="E36" s="5">
        <f ca="1">MIN(1, (1-C36)*0.8 + B36*(1+0.8*(1-D35)+0.6*Inputs!$B$27))</f>
        <v>0.15733333333333333</v>
      </c>
      <c r="F36" s="5">
        <f ca="1">IF(L35&lt;Inputs!$B$9,1,0)</f>
        <v>1</v>
      </c>
      <c r="G36" s="5">
        <f ca="1">MAX(0,MIN(1, G35 + Inputs!$B$12*E36*(1-Inputs!$B$24) + Inputs!$B$10*F36 - Inputs!$B$11*Inputs!$B$24*(1-E36) ))</f>
        <v>1</v>
      </c>
      <c r="H36" s="5">
        <f ca="1">MAX(0,MIN(1,
  H35
  + Inputs!$B$12*E36*(1-Inputs!$B$21)
  + Inputs!$B$10*F36
  - Inputs!$B$11*Inputs!$B$21*(1-E36)
))</f>
        <v>1</v>
      </c>
      <c r="I36" s="5">
        <f ca="1">MAX(0,MIN(1,
  I35
  + Inputs!$B$12*E36*(1-Inputs!$B$22)
  + Inputs!$B$10*F36
  - Inputs!$B$11*Inputs!$B$22*(1-E36)
))</f>
        <v>1</v>
      </c>
      <c r="J36" s="5">
        <f ca="1">MAX(0,MIN(1,
  J35
  + Inputs!$B$12*E36*(1-Inputs!$B$23)
  + Inputs!$B$10*F36
  - Inputs!$B$11*Inputs!$B$23*(1-E36)
))</f>
        <v>1</v>
      </c>
      <c r="K36" s="5">
        <f ca="1">MAX(0,MIN(1,
  K35
  + Inputs!$B$12*E36*(1-Inputs!$B$25)
  + Inputs!$B$10*F36
  - Inputs!$B$11*Inputs!$B$25*(1-E36)
))</f>
        <v>1</v>
      </c>
      <c r="L36" s="6">
        <f t="shared" ca="1" si="1"/>
        <v>0.4311666666666667</v>
      </c>
      <c r="M36" s="5" t="str">
        <f ca="1">IF(A36&lt;(Inputs!$B$6+Inputs!$B$8-1),"",
IF(COUNTIF(INDEX($L:$L,ROW(L36)-(Inputs!$B$8-1)):L36,"&lt;"&amp;Inputs!$B$7)=Inputs!$B$8,"COLLAPSE",""))</f>
        <v>COLLAPSE</v>
      </c>
    </row>
    <row r="37" spans="1:13" x14ac:dyDescent="0.25">
      <c r="A37" s="6">
        <v>32</v>
      </c>
      <c r="B37" s="6">
        <f ca="1">IFERROR(_xludf.XLOOKUP(A37,Events!$A$5:$A$200,Events!$B$5:$B$200,0),0)</f>
        <v>0</v>
      </c>
      <c r="C37" s="6">
        <f ca="1">MAX(0,MIN(1, AVERAGE(Inputs!$B$15,Inputs!$B$16,Inputs!$B$17) - 0.35*B37*(1+0.6*Inputs!$B$27) ))</f>
        <v>0.80333333333333334</v>
      </c>
      <c r="D37" s="6">
        <f ca="1">MAX(0,MIN(1, D36 - 0.12*E37 + 0.1*Inputs!$B$25*(1-B37) ))</f>
        <v>1</v>
      </c>
      <c r="E37" s="5">
        <f ca="1">MIN(1, (1-C37)*0.8 + B37*(1+0.8*(1-D36)+0.6*Inputs!$B$27))</f>
        <v>0.15733333333333333</v>
      </c>
      <c r="F37" s="5">
        <f ca="1">IF(L36&lt;Inputs!$B$9,1,0)</f>
        <v>1</v>
      </c>
      <c r="G37" s="5">
        <f ca="1">MAX(0,MIN(1, G36 + Inputs!$B$12*E37*(1-Inputs!$B$24) + Inputs!$B$10*F37 - Inputs!$B$11*Inputs!$B$24*(1-E37) ))</f>
        <v>1</v>
      </c>
      <c r="H37" s="5">
        <f ca="1">MAX(0,MIN(1,
  H36
  + Inputs!$B$12*E37*(1-Inputs!$B$21)
  + Inputs!$B$10*F37
  - Inputs!$B$11*Inputs!$B$21*(1-E37)
))</f>
        <v>1</v>
      </c>
      <c r="I37" s="5">
        <f ca="1">MAX(0,MIN(1,
  I36
  + Inputs!$B$12*E37*(1-Inputs!$B$22)
  + Inputs!$B$10*F37
  - Inputs!$B$11*Inputs!$B$22*(1-E37)
))</f>
        <v>1</v>
      </c>
      <c r="J37" s="5">
        <f ca="1">MAX(0,MIN(1,
  J36
  + Inputs!$B$12*E37*(1-Inputs!$B$23)
  + Inputs!$B$10*F37
  - Inputs!$B$11*Inputs!$B$23*(1-E37)
))</f>
        <v>1</v>
      </c>
      <c r="K37" s="5">
        <f ca="1">MAX(0,MIN(1,
  K36
  + Inputs!$B$12*E37*(1-Inputs!$B$25)
  + Inputs!$B$10*F37
  - Inputs!$B$11*Inputs!$B$25*(1-E37)
))</f>
        <v>1</v>
      </c>
      <c r="L37" s="6">
        <f t="shared" ca="1" si="1"/>
        <v>0.4311666666666667</v>
      </c>
      <c r="M37" s="5" t="str">
        <f ca="1">IF(A37&lt;(Inputs!$B$6+Inputs!$B$8-1),"",
IF(COUNTIF(INDEX($L:$L,ROW(L37)-(Inputs!$B$8-1)):L37,"&lt;"&amp;Inputs!$B$7)=Inputs!$B$8,"COLLAPSE",""))</f>
        <v>COLLAPSE</v>
      </c>
    </row>
    <row r="38" spans="1:13" x14ac:dyDescent="0.25">
      <c r="A38" s="6">
        <v>33</v>
      </c>
      <c r="B38" s="6">
        <f ca="1">IFERROR(_xludf.XLOOKUP(A38,Events!$A$5:$A$200,Events!$B$5:$B$200,0),0)</f>
        <v>0</v>
      </c>
      <c r="C38" s="6">
        <f ca="1">MAX(0,MIN(1, AVERAGE(Inputs!$B$15,Inputs!$B$16,Inputs!$B$17) - 0.35*B38*(1+0.6*Inputs!$B$27) ))</f>
        <v>0.80333333333333334</v>
      </c>
      <c r="D38" s="6">
        <f ca="1">MAX(0,MIN(1, D37 - 0.12*E38 + 0.1*Inputs!$B$25*(1-B38) ))</f>
        <v>1</v>
      </c>
      <c r="E38" s="5">
        <f ca="1">MIN(1, (1-C38)*0.8 + B38*(1+0.8*(1-D37)+0.6*Inputs!$B$27))</f>
        <v>0.15733333333333333</v>
      </c>
      <c r="F38" s="5">
        <f ca="1">IF(L37&lt;Inputs!$B$9,1,0)</f>
        <v>1</v>
      </c>
      <c r="G38" s="5">
        <f ca="1">MAX(0,MIN(1, G37 + Inputs!$B$12*E38*(1-Inputs!$B$24) + Inputs!$B$10*F38 - Inputs!$B$11*Inputs!$B$24*(1-E38) ))</f>
        <v>1</v>
      </c>
      <c r="H38" s="5">
        <f ca="1">MAX(0,MIN(1,
  H37
  + Inputs!$B$12*E38*(1-Inputs!$B$21)
  + Inputs!$B$10*F38
  - Inputs!$B$11*Inputs!$B$21*(1-E38)
))</f>
        <v>1</v>
      </c>
      <c r="I38" s="5">
        <f ca="1">MAX(0,MIN(1,
  I37
  + Inputs!$B$12*E38*(1-Inputs!$B$22)
  + Inputs!$B$10*F38
  - Inputs!$B$11*Inputs!$B$22*(1-E38)
))</f>
        <v>1</v>
      </c>
      <c r="J38" s="5">
        <f ca="1">MAX(0,MIN(1,
  J37
  + Inputs!$B$12*E38*(1-Inputs!$B$23)
  + Inputs!$B$10*F38
  - Inputs!$B$11*Inputs!$B$23*(1-E38)
))</f>
        <v>1</v>
      </c>
      <c r="K38" s="5">
        <f ca="1">MAX(0,MIN(1,
  K37
  + Inputs!$B$12*E38*(1-Inputs!$B$25)
  + Inputs!$B$10*F38
  - Inputs!$B$11*Inputs!$B$25*(1-E38)
))</f>
        <v>1</v>
      </c>
      <c r="L38" s="6">
        <f t="shared" ca="1" si="1"/>
        <v>0.4311666666666667</v>
      </c>
      <c r="M38" s="5" t="str">
        <f ca="1">IF(A38&lt;(Inputs!$B$6+Inputs!$B$8-1),"",
IF(COUNTIF(INDEX($L:$L,ROW(L38)-(Inputs!$B$8-1)):L38,"&lt;"&amp;Inputs!$B$7)=Inputs!$B$8,"COLLAPSE",""))</f>
        <v>COLLAPSE</v>
      </c>
    </row>
    <row r="39" spans="1:13" x14ac:dyDescent="0.25">
      <c r="A39" s="6">
        <v>34</v>
      </c>
      <c r="B39" s="6">
        <f ca="1">IFERROR(_xludf.XLOOKUP(A39,Events!$A$5:$A$200,Events!$B$5:$B$200,0),0)</f>
        <v>0</v>
      </c>
      <c r="C39" s="6">
        <f ca="1">MAX(0,MIN(1, AVERAGE(Inputs!$B$15,Inputs!$B$16,Inputs!$B$17) - 0.35*B39*(1+0.6*Inputs!$B$27) ))</f>
        <v>0.80333333333333334</v>
      </c>
      <c r="D39" s="6">
        <f ca="1">MAX(0,MIN(1, D38 - 0.12*E39 + 0.1*Inputs!$B$25*(1-B39) ))</f>
        <v>1</v>
      </c>
      <c r="E39" s="5">
        <f ca="1">MIN(1, (1-C39)*0.8 + B39*(1+0.8*(1-D38)+0.6*Inputs!$B$27))</f>
        <v>0.15733333333333333</v>
      </c>
      <c r="F39" s="5">
        <f ca="1">IF(L38&lt;Inputs!$B$9,1,0)</f>
        <v>1</v>
      </c>
      <c r="G39" s="5">
        <f ca="1">MAX(0,MIN(1, G38 + Inputs!$B$12*E39*(1-Inputs!$B$24) + Inputs!$B$10*F39 - Inputs!$B$11*Inputs!$B$24*(1-E39) ))</f>
        <v>1</v>
      </c>
      <c r="H39" s="5">
        <f ca="1">MAX(0,MIN(1,
  H38
  + Inputs!$B$12*E39*(1-Inputs!$B$21)
  + Inputs!$B$10*F39
  - Inputs!$B$11*Inputs!$B$21*(1-E39)
))</f>
        <v>1</v>
      </c>
      <c r="I39" s="5">
        <f ca="1">MAX(0,MIN(1,
  I38
  + Inputs!$B$12*E39*(1-Inputs!$B$22)
  + Inputs!$B$10*F39
  - Inputs!$B$11*Inputs!$B$22*(1-E39)
))</f>
        <v>1</v>
      </c>
      <c r="J39" s="5">
        <f ca="1">MAX(0,MIN(1,
  J38
  + Inputs!$B$12*E39*(1-Inputs!$B$23)
  + Inputs!$B$10*F39
  - Inputs!$B$11*Inputs!$B$23*(1-E39)
))</f>
        <v>1</v>
      </c>
      <c r="K39" s="5">
        <f ca="1">MAX(0,MIN(1,
  K38
  + Inputs!$B$12*E39*(1-Inputs!$B$25)
  + Inputs!$B$10*F39
  - Inputs!$B$11*Inputs!$B$25*(1-E39)
))</f>
        <v>1</v>
      </c>
      <c r="L39" s="6">
        <f t="shared" ca="1" si="1"/>
        <v>0.4311666666666667</v>
      </c>
      <c r="M39" s="5" t="str">
        <f ca="1">IF(A39&lt;(Inputs!$B$6+Inputs!$B$8-1),"",
IF(COUNTIF(INDEX($L:$L,ROW(L39)-(Inputs!$B$8-1)):L39,"&lt;"&amp;Inputs!$B$7)=Inputs!$B$8,"COLLAPSE",""))</f>
        <v>COLLAPSE</v>
      </c>
    </row>
    <row r="40" spans="1:13" x14ac:dyDescent="0.25">
      <c r="A40" s="6">
        <v>35</v>
      </c>
      <c r="B40" s="6">
        <f ca="1">IFERROR(_xludf.XLOOKUP(A40,Events!$A$5:$A$200,Events!$B$5:$B$200,0),0)</f>
        <v>0</v>
      </c>
      <c r="C40" s="6">
        <f ca="1">MAX(0,MIN(1, AVERAGE(Inputs!$B$15,Inputs!$B$16,Inputs!$B$17) - 0.35*B40*(1+0.6*Inputs!$B$27) ))</f>
        <v>0.80333333333333334</v>
      </c>
      <c r="D40" s="6">
        <f ca="1">MAX(0,MIN(1, D39 - 0.12*E40 + 0.1*Inputs!$B$25*(1-B40) ))</f>
        <v>1</v>
      </c>
      <c r="E40" s="5">
        <f ca="1">MIN(1, (1-C40)*0.8 + B40*(1+0.8*(1-D39)+0.6*Inputs!$B$27))</f>
        <v>0.15733333333333333</v>
      </c>
      <c r="F40" s="5">
        <f ca="1">IF(L39&lt;Inputs!$B$9,1,0)</f>
        <v>1</v>
      </c>
      <c r="G40" s="5">
        <f ca="1">MAX(0,MIN(1, G39 + Inputs!$B$12*E40*(1-Inputs!$B$24) + Inputs!$B$10*F40 - Inputs!$B$11*Inputs!$B$24*(1-E40) ))</f>
        <v>1</v>
      </c>
      <c r="H40" s="5">
        <f ca="1">MAX(0,MIN(1,
  H39
  + Inputs!$B$12*E40*(1-Inputs!$B$21)
  + Inputs!$B$10*F40
  - Inputs!$B$11*Inputs!$B$21*(1-E40)
))</f>
        <v>1</v>
      </c>
      <c r="I40" s="5">
        <f ca="1">MAX(0,MIN(1,
  I39
  + Inputs!$B$12*E40*(1-Inputs!$B$22)
  + Inputs!$B$10*F40
  - Inputs!$B$11*Inputs!$B$22*(1-E40)
))</f>
        <v>1</v>
      </c>
      <c r="J40" s="5">
        <f ca="1">MAX(0,MIN(1,
  J39
  + Inputs!$B$12*E40*(1-Inputs!$B$23)
  + Inputs!$B$10*F40
  - Inputs!$B$11*Inputs!$B$23*(1-E40)
))</f>
        <v>1</v>
      </c>
      <c r="K40" s="5">
        <f ca="1">MAX(0,MIN(1,
  K39
  + Inputs!$B$12*E40*(1-Inputs!$B$25)
  + Inputs!$B$10*F40
  - Inputs!$B$11*Inputs!$B$25*(1-E40)
))</f>
        <v>1</v>
      </c>
      <c r="L40" s="6">
        <f t="shared" ca="1" si="1"/>
        <v>0.4311666666666667</v>
      </c>
      <c r="M40" s="5" t="str">
        <f ca="1">IF(A40&lt;(Inputs!$B$6+Inputs!$B$8-1),"",
IF(COUNTIF(INDEX($L:$L,ROW(L40)-(Inputs!$B$8-1)):L40,"&lt;"&amp;Inputs!$B$7)=Inputs!$B$8,"COLLAPSE",""))</f>
        <v>COLLAPSE</v>
      </c>
    </row>
    <row r="41" spans="1:13" x14ac:dyDescent="0.25">
      <c r="A41" s="6">
        <v>36</v>
      </c>
      <c r="B41" s="6">
        <f ca="1">IFERROR(_xludf.XLOOKUP(A41,Events!$A$5:$A$200,Events!$B$5:$B$200,0),0)</f>
        <v>0</v>
      </c>
      <c r="C41" s="6">
        <f ca="1">MAX(0,MIN(1, AVERAGE(Inputs!$B$15,Inputs!$B$16,Inputs!$B$17) - 0.35*B41*(1+0.6*Inputs!$B$27) ))</f>
        <v>0.80333333333333334</v>
      </c>
      <c r="D41" s="6">
        <f ca="1">MAX(0,MIN(1, D40 - 0.12*E41 + 0.1*Inputs!$B$25*(1-B41) ))</f>
        <v>1</v>
      </c>
      <c r="E41" s="5">
        <f ca="1">MIN(1, (1-C41)*0.8 + B41*(1+0.8*(1-D40)+0.6*Inputs!$B$27))</f>
        <v>0.15733333333333333</v>
      </c>
      <c r="F41" s="5">
        <f ca="1">IF(L40&lt;Inputs!$B$9,1,0)</f>
        <v>1</v>
      </c>
      <c r="G41" s="5">
        <f ca="1">MAX(0,MIN(1, G40 + Inputs!$B$12*E41*(1-Inputs!$B$24) + Inputs!$B$10*F41 - Inputs!$B$11*Inputs!$B$24*(1-E41) ))</f>
        <v>1</v>
      </c>
      <c r="H41" s="5">
        <f ca="1">MAX(0,MIN(1,
  H40
  + Inputs!$B$12*E41*(1-Inputs!$B$21)
  + Inputs!$B$10*F41
  - Inputs!$B$11*Inputs!$B$21*(1-E41)
))</f>
        <v>1</v>
      </c>
      <c r="I41" s="5">
        <f ca="1">MAX(0,MIN(1,
  I40
  + Inputs!$B$12*E41*(1-Inputs!$B$22)
  + Inputs!$B$10*F41
  - Inputs!$B$11*Inputs!$B$22*(1-E41)
))</f>
        <v>1</v>
      </c>
      <c r="J41" s="5">
        <f ca="1">MAX(0,MIN(1,
  J40
  + Inputs!$B$12*E41*(1-Inputs!$B$23)
  + Inputs!$B$10*F41
  - Inputs!$B$11*Inputs!$B$23*(1-E41)
))</f>
        <v>1</v>
      </c>
      <c r="K41" s="5">
        <f ca="1">MAX(0,MIN(1,
  K40
  + Inputs!$B$12*E41*(1-Inputs!$B$25)
  + Inputs!$B$10*F41
  - Inputs!$B$11*Inputs!$B$25*(1-E41)
))</f>
        <v>1</v>
      </c>
      <c r="L41" s="6">
        <f t="shared" ca="1" si="1"/>
        <v>0.4311666666666667</v>
      </c>
      <c r="M41" s="5" t="str">
        <f ca="1">IF(A41&lt;(Inputs!$B$6+Inputs!$B$8-1),"",
IF(COUNTIF(INDEX($L:$L,ROW(L41)-(Inputs!$B$8-1)):L41,"&lt;"&amp;Inputs!$B$7)=Inputs!$B$8,"COLLAPSE",""))</f>
        <v>COLLAPSE</v>
      </c>
    </row>
    <row r="42" spans="1:13" x14ac:dyDescent="0.25">
      <c r="A42" s="6">
        <v>37</v>
      </c>
      <c r="B42" s="6">
        <f ca="1">IFERROR(_xludf.XLOOKUP(A42,Events!$A$5:$A$200,Events!$B$5:$B$200,0),0)</f>
        <v>0</v>
      </c>
      <c r="C42" s="6">
        <f ca="1">MAX(0,MIN(1, AVERAGE(Inputs!$B$15,Inputs!$B$16,Inputs!$B$17) - 0.35*B42*(1+0.6*Inputs!$B$27) ))</f>
        <v>0.80333333333333334</v>
      </c>
      <c r="D42" s="6">
        <f ca="1">MAX(0,MIN(1, D41 - 0.12*E42 + 0.1*Inputs!$B$25*(1-B42) ))</f>
        <v>1</v>
      </c>
      <c r="E42" s="5">
        <f ca="1">MIN(1, (1-C42)*0.8 + B42*(1+0.8*(1-D41)+0.6*Inputs!$B$27))</f>
        <v>0.15733333333333333</v>
      </c>
      <c r="F42" s="5">
        <f ca="1">IF(L41&lt;Inputs!$B$9,1,0)</f>
        <v>1</v>
      </c>
      <c r="G42" s="5">
        <f ca="1">MAX(0,MIN(1, G41 + Inputs!$B$12*E42*(1-Inputs!$B$24) + Inputs!$B$10*F42 - Inputs!$B$11*Inputs!$B$24*(1-E42) ))</f>
        <v>1</v>
      </c>
      <c r="H42" s="5">
        <f ca="1">MAX(0,MIN(1,
  H41
  + Inputs!$B$12*E42*(1-Inputs!$B$21)
  + Inputs!$B$10*F42
  - Inputs!$B$11*Inputs!$B$21*(1-E42)
))</f>
        <v>1</v>
      </c>
      <c r="I42" s="5">
        <f ca="1">MAX(0,MIN(1,
  I41
  + Inputs!$B$12*E42*(1-Inputs!$B$22)
  + Inputs!$B$10*F42
  - Inputs!$B$11*Inputs!$B$22*(1-E42)
))</f>
        <v>1</v>
      </c>
      <c r="J42" s="5">
        <f ca="1">MAX(0,MIN(1,
  J41
  + Inputs!$B$12*E42*(1-Inputs!$B$23)
  + Inputs!$B$10*F42
  - Inputs!$B$11*Inputs!$B$23*(1-E42)
))</f>
        <v>1</v>
      </c>
      <c r="K42" s="5">
        <f ca="1">MAX(0,MIN(1,
  K41
  + Inputs!$B$12*E42*(1-Inputs!$B$25)
  + Inputs!$B$10*F42
  - Inputs!$B$11*Inputs!$B$25*(1-E42)
))</f>
        <v>1</v>
      </c>
      <c r="L42" s="6">
        <f t="shared" ca="1" si="1"/>
        <v>0.4311666666666667</v>
      </c>
      <c r="M42" s="5" t="str">
        <f ca="1">IF(A42&lt;(Inputs!$B$6+Inputs!$B$8-1),"",
IF(COUNTIF(INDEX($L:$L,ROW(L42)-(Inputs!$B$8-1)):L42,"&lt;"&amp;Inputs!$B$7)=Inputs!$B$8,"COLLAPSE",""))</f>
        <v>COLLAPSE</v>
      </c>
    </row>
    <row r="43" spans="1:13" x14ac:dyDescent="0.25">
      <c r="A43" s="6">
        <v>38</v>
      </c>
      <c r="B43" s="6">
        <f ca="1">IFERROR(_xludf.XLOOKUP(A43,Events!$A$5:$A$200,Events!$B$5:$B$200,0),0)</f>
        <v>0</v>
      </c>
      <c r="C43" s="6">
        <f ca="1">MAX(0,MIN(1, AVERAGE(Inputs!$B$15,Inputs!$B$16,Inputs!$B$17) - 0.35*B43*(1+0.6*Inputs!$B$27) ))</f>
        <v>0.80333333333333334</v>
      </c>
      <c r="D43" s="6">
        <f ca="1">MAX(0,MIN(1, D42 - 0.12*E43 + 0.1*Inputs!$B$25*(1-B43) ))</f>
        <v>1</v>
      </c>
      <c r="E43" s="5">
        <f ca="1">MIN(1, (1-C43)*0.8 + B43*(1+0.8*(1-D42)+0.6*Inputs!$B$27))</f>
        <v>0.15733333333333333</v>
      </c>
      <c r="F43" s="5">
        <f ca="1">IF(L42&lt;Inputs!$B$9,1,0)</f>
        <v>1</v>
      </c>
      <c r="G43" s="5">
        <f ca="1">MAX(0,MIN(1, G42 + Inputs!$B$12*E43*(1-Inputs!$B$24) + Inputs!$B$10*F43 - Inputs!$B$11*Inputs!$B$24*(1-E43) ))</f>
        <v>1</v>
      </c>
      <c r="H43" s="5">
        <f ca="1">MAX(0,MIN(1,
  H42
  + Inputs!$B$12*E43*(1-Inputs!$B$21)
  + Inputs!$B$10*F43
  - Inputs!$B$11*Inputs!$B$21*(1-E43)
))</f>
        <v>1</v>
      </c>
      <c r="I43" s="5">
        <f ca="1">MAX(0,MIN(1,
  I42
  + Inputs!$B$12*E43*(1-Inputs!$B$22)
  + Inputs!$B$10*F43
  - Inputs!$B$11*Inputs!$B$22*(1-E43)
))</f>
        <v>1</v>
      </c>
      <c r="J43" s="5">
        <f ca="1">MAX(0,MIN(1,
  J42
  + Inputs!$B$12*E43*(1-Inputs!$B$23)
  + Inputs!$B$10*F43
  - Inputs!$B$11*Inputs!$B$23*(1-E43)
))</f>
        <v>1</v>
      </c>
      <c r="K43" s="5">
        <f ca="1">MAX(0,MIN(1,
  K42
  + Inputs!$B$12*E43*(1-Inputs!$B$25)
  + Inputs!$B$10*F43
  - Inputs!$B$11*Inputs!$B$25*(1-E43)
))</f>
        <v>1</v>
      </c>
      <c r="L43" s="6">
        <f t="shared" ca="1" si="1"/>
        <v>0.4311666666666667</v>
      </c>
      <c r="M43" s="5" t="str">
        <f ca="1">IF(A43&lt;(Inputs!$B$6+Inputs!$B$8-1),"",
IF(COUNTIF(INDEX($L:$L,ROW(L43)-(Inputs!$B$8-1)):L43,"&lt;"&amp;Inputs!$B$7)=Inputs!$B$8,"COLLAPSE",""))</f>
        <v>COLLAPSE</v>
      </c>
    </row>
    <row r="44" spans="1:13" x14ac:dyDescent="0.25">
      <c r="A44" s="6">
        <v>39</v>
      </c>
      <c r="B44" s="6">
        <f ca="1">IFERROR(_xludf.XLOOKUP(A44,Events!$A$5:$A$200,Events!$B$5:$B$200,0),0)</f>
        <v>0</v>
      </c>
      <c r="C44" s="6">
        <f ca="1">MAX(0,MIN(1, AVERAGE(Inputs!$B$15,Inputs!$B$16,Inputs!$B$17) - 0.35*B44*(1+0.6*Inputs!$B$27) ))</f>
        <v>0.80333333333333334</v>
      </c>
      <c r="D44" s="6">
        <f ca="1">MAX(0,MIN(1, D43 - 0.12*E44 + 0.1*Inputs!$B$25*(1-B44) ))</f>
        <v>1</v>
      </c>
      <c r="E44" s="5">
        <f ca="1">MIN(1, (1-C44)*0.8 + B44*(1+0.8*(1-D43)+0.6*Inputs!$B$27))</f>
        <v>0.15733333333333333</v>
      </c>
      <c r="F44" s="5">
        <f ca="1">IF(L43&lt;Inputs!$B$9,1,0)</f>
        <v>1</v>
      </c>
      <c r="G44" s="5">
        <f ca="1">MAX(0,MIN(1, G43 + Inputs!$B$12*E44*(1-Inputs!$B$24) + Inputs!$B$10*F44 - Inputs!$B$11*Inputs!$B$24*(1-E44) ))</f>
        <v>1</v>
      </c>
      <c r="H44" s="5">
        <f ca="1">MAX(0,MIN(1,
  H43
  + Inputs!$B$12*E44*(1-Inputs!$B$21)
  + Inputs!$B$10*F44
  - Inputs!$B$11*Inputs!$B$21*(1-E44)
))</f>
        <v>1</v>
      </c>
      <c r="I44" s="5">
        <f ca="1">MAX(0,MIN(1,
  I43
  + Inputs!$B$12*E44*(1-Inputs!$B$22)
  + Inputs!$B$10*F44
  - Inputs!$B$11*Inputs!$B$22*(1-E44)
))</f>
        <v>1</v>
      </c>
      <c r="J44" s="5">
        <f ca="1">MAX(0,MIN(1,
  J43
  + Inputs!$B$12*E44*(1-Inputs!$B$23)
  + Inputs!$B$10*F44
  - Inputs!$B$11*Inputs!$B$23*(1-E44)
))</f>
        <v>1</v>
      </c>
      <c r="K44" s="5">
        <f ca="1">MAX(0,MIN(1,
  K43
  + Inputs!$B$12*E44*(1-Inputs!$B$25)
  + Inputs!$B$10*F44
  - Inputs!$B$11*Inputs!$B$25*(1-E44)
))</f>
        <v>1</v>
      </c>
      <c r="L44" s="6">
        <f t="shared" ca="1" si="1"/>
        <v>0.4311666666666667</v>
      </c>
      <c r="M44" s="5" t="str">
        <f ca="1">IF(A44&lt;(Inputs!$B$6+Inputs!$B$8-1),"",
IF(COUNTIF(INDEX($L:$L,ROW(L44)-(Inputs!$B$8-1)):L44,"&lt;"&amp;Inputs!$B$7)=Inputs!$B$8,"COLLAPSE",""))</f>
        <v>COLLAPSE</v>
      </c>
    </row>
    <row r="45" spans="1:13" x14ac:dyDescent="0.25">
      <c r="A45" s="6">
        <v>40</v>
      </c>
      <c r="B45" s="6">
        <f ca="1">IFERROR(_xludf.XLOOKUP(A45,Events!$A$5:$A$200,Events!$B$5:$B$200,0),0)</f>
        <v>0</v>
      </c>
      <c r="C45" s="6">
        <f ca="1">MAX(0,MIN(1, AVERAGE(Inputs!$B$15,Inputs!$B$16,Inputs!$B$17) - 0.35*B45*(1+0.6*Inputs!$B$27) ))</f>
        <v>0.80333333333333334</v>
      </c>
      <c r="D45" s="6">
        <f ca="1">MAX(0,MIN(1, D44 - 0.12*E45 + 0.1*Inputs!$B$25*(1-B45) ))</f>
        <v>1</v>
      </c>
      <c r="E45" s="5">
        <f ca="1">MIN(1, (1-C45)*0.8 + B45*(1+0.8*(1-D44)+0.6*Inputs!$B$27))</f>
        <v>0.15733333333333333</v>
      </c>
      <c r="F45" s="5">
        <f ca="1">IF(L44&lt;Inputs!$B$9,1,0)</f>
        <v>1</v>
      </c>
      <c r="G45" s="5">
        <f ca="1">MAX(0,MIN(1, G44 + Inputs!$B$12*E45*(1-Inputs!$B$24) + Inputs!$B$10*F45 - Inputs!$B$11*Inputs!$B$24*(1-E45) ))</f>
        <v>1</v>
      </c>
      <c r="H45" s="5">
        <f ca="1">MAX(0,MIN(1,
  H44
  + Inputs!$B$12*E45*(1-Inputs!$B$21)
  + Inputs!$B$10*F45
  - Inputs!$B$11*Inputs!$B$21*(1-E45)
))</f>
        <v>1</v>
      </c>
      <c r="I45" s="5">
        <f ca="1">MAX(0,MIN(1,
  I44
  + Inputs!$B$12*E45*(1-Inputs!$B$22)
  + Inputs!$B$10*F45
  - Inputs!$B$11*Inputs!$B$22*(1-E45)
))</f>
        <v>1</v>
      </c>
      <c r="J45" s="5">
        <f ca="1">MAX(0,MIN(1,
  J44
  + Inputs!$B$12*E45*(1-Inputs!$B$23)
  + Inputs!$B$10*F45
  - Inputs!$B$11*Inputs!$B$23*(1-E45)
))</f>
        <v>1</v>
      </c>
      <c r="K45" s="5">
        <f ca="1">MAX(0,MIN(1,
  K44
  + Inputs!$B$12*E45*(1-Inputs!$B$25)
  + Inputs!$B$10*F45
  - Inputs!$B$11*Inputs!$B$25*(1-E45)
))</f>
        <v>1</v>
      </c>
      <c r="L45" s="6">
        <f t="shared" ca="1" si="1"/>
        <v>0.4311666666666667</v>
      </c>
      <c r="M45" s="5" t="str">
        <f ca="1">IF(A45&lt;(Inputs!$B$6+Inputs!$B$8-1),"",
IF(COUNTIF(INDEX($L:$L,ROW(L45)-(Inputs!$B$8-1)):L45,"&lt;"&amp;Inputs!$B$7)=Inputs!$B$8,"COLLAPSE",""))</f>
        <v>COLLAPSE</v>
      </c>
    </row>
    <row r="46" spans="1:13" x14ac:dyDescent="0.25">
      <c r="A46" s="6">
        <v>41</v>
      </c>
      <c r="B46" s="6">
        <f ca="1">IFERROR(_xludf.XLOOKUP(A46,Events!$A$5:$A$200,Events!$B$5:$B$200,0),0)</f>
        <v>0</v>
      </c>
      <c r="C46" s="6">
        <f ca="1">MAX(0,MIN(1, AVERAGE(Inputs!$B$15,Inputs!$B$16,Inputs!$B$17) - 0.35*B46*(1+0.6*Inputs!$B$27) ))</f>
        <v>0.80333333333333334</v>
      </c>
      <c r="D46" s="6">
        <f ca="1">MAX(0,MIN(1, D45 - 0.12*E46 + 0.1*Inputs!$B$25*(1-B46) ))</f>
        <v>1</v>
      </c>
      <c r="E46" s="5">
        <f ca="1">MIN(1, (1-C46)*0.8 + B46*(1+0.8*(1-D45)+0.6*Inputs!$B$27))</f>
        <v>0.15733333333333333</v>
      </c>
      <c r="F46" s="5">
        <f ca="1">IF(L45&lt;Inputs!$B$9,1,0)</f>
        <v>1</v>
      </c>
      <c r="G46" s="5">
        <f ca="1">MAX(0,MIN(1, G45 + Inputs!$B$12*E46*(1-Inputs!$B$24) + Inputs!$B$10*F46 - Inputs!$B$11*Inputs!$B$24*(1-E46) ))</f>
        <v>1</v>
      </c>
      <c r="H46" s="5">
        <f ca="1">MAX(0,MIN(1,
  H45
  + Inputs!$B$12*E46*(1-Inputs!$B$21)
  + Inputs!$B$10*F46
  - Inputs!$B$11*Inputs!$B$21*(1-E46)
))</f>
        <v>1</v>
      </c>
      <c r="I46" s="5">
        <f ca="1">MAX(0,MIN(1,
  I45
  + Inputs!$B$12*E46*(1-Inputs!$B$22)
  + Inputs!$B$10*F46
  - Inputs!$B$11*Inputs!$B$22*(1-E46)
))</f>
        <v>1</v>
      </c>
      <c r="J46" s="5">
        <f ca="1">MAX(0,MIN(1,
  J45
  + Inputs!$B$12*E46*(1-Inputs!$B$23)
  + Inputs!$B$10*F46
  - Inputs!$B$11*Inputs!$B$23*(1-E46)
))</f>
        <v>1</v>
      </c>
      <c r="K46" s="5">
        <f ca="1">MAX(0,MIN(1,
  K45
  + Inputs!$B$12*E46*(1-Inputs!$B$25)
  + Inputs!$B$10*F46
  - Inputs!$B$11*Inputs!$B$25*(1-E46)
))</f>
        <v>1</v>
      </c>
      <c r="L46" s="6">
        <f t="shared" ca="1" si="1"/>
        <v>0.4311666666666667</v>
      </c>
      <c r="M46" s="5" t="str">
        <f ca="1">IF(A46&lt;(Inputs!$B$6+Inputs!$B$8-1),"",
IF(COUNTIF(INDEX($L:$L,ROW(L46)-(Inputs!$B$8-1)):L46,"&lt;"&amp;Inputs!$B$7)=Inputs!$B$8,"COLLAPSE",""))</f>
        <v>COLLAPSE</v>
      </c>
    </row>
    <row r="47" spans="1:13" x14ac:dyDescent="0.25">
      <c r="A47" s="6">
        <v>42</v>
      </c>
      <c r="B47" s="6">
        <f ca="1">IFERROR(_xludf.XLOOKUP(A47,Events!$A$5:$A$200,Events!$B$5:$B$200,0),0)</f>
        <v>0</v>
      </c>
      <c r="C47" s="6">
        <f ca="1">MAX(0,MIN(1, AVERAGE(Inputs!$B$15,Inputs!$B$16,Inputs!$B$17) - 0.35*B47*(1+0.6*Inputs!$B$27) ))</f>
        <v>0.80333333333333334</v>
      </c>
      <c r="D47" s="6">
        <f ca="1">MAX(0,MIN(1, D46 - 0.12*E47 + 0.1*Inputs!$B$25*(1-B47) ))</f>
        <v>1</v>
      </c>
      <c r="E47" s="5">
        <f ca="1">MIN(1, (1-C47)*0.8 + B47*(1+0.8*(1-D46)+0.6*Inputs!$B$27))</f>
        <v>0.15733333333333333</v>
      </c>
      <c r="F47" s="5">
        <f ca="1">IF(L46&lt;Inputs!$B$9,1,0)</f>
        <v>1</v>
      </c>
      <c r="G47" s="5">
        <f ca="1">MAX(0,MIN(1, G46 + Inputs!$B$12*E47*(1-Inputs!$B$24) + Inputs!$B$10*F47 - Inputs!$B$11*Inputs!$B$24*(1-E47) ))</f>
        <v>1</v>
      </c>
      <c r="H47" s="5">
        <f ca="1">MAX(0,MIN(1,
  H46
  + Inputs!$B$12*E47*(1-Inputs!$B$21)
  + Inputs!$B$10*F47
  - Inputs!$B$11*Inputs!$B$21*(1-E47)
))</f>
        <v>1</v>
      </c>
      <c r="I47" s="5">
        <f ca="1">MAX(0,MIN(1,
  I46
  + Inputs!$B$12*E47*(1-Inputs!$B$22)
  + Inputs!$B$10*F47
  - Inputs!$B$11*Inputs!$B$22*(1-E47)
))</f>
        <v>1</v>
      </c>
      <c r="J47" s="5">
        <f ca="1">MAX(0,MIN(1,
  J46
  + Inputs!$B$12*E47*(1-Inputs!$B$23)
  + Inputs!$B$10*F47
  - Inputs!$B$11*Inputs!$B$23*(1-E47)
))</f>
        <v>1</v>
      </c>
      <c r="K47" s="5">
        <f ca="1">MAX(0,MIN(1,
  K46
  + Inputs!$B$12*E47*(1-Inputs!$B$25)
  + Inputs!$B$10*F47
  - Inputs!$B$11*Inputs!$B$25*(1-E47)
))</f>
        <v>1</v>
      </c>
      <c r="L47" s="6">
        <f t="shared" ca="1" si="1"/>
        <v>0.4311666666666667</v>
      </c>
      <c r="M47" s="5" t="str">
        <f ca="1">IF(A47&lt;(Inputs!$B$6+Inputs!$B$8-1),"",
IF(COUNTIF(INDEX($L:$L,ROW(L47)-(Inputs!$B$8-1)):L47,"&lt;"&amp;Inputs!$B$7)=Inputs!$B$8,"COLLAPSE",""))</f>
        <v>COLLAPSE</v>
      </c>
    </row>
    <row r="48" spans="1:13" x14ac:dyDescent="0.25">
      <c r="A48" s="6">
        <v>43</v>
      </c>
      <c r="B48" s="6">
        <f ca="1">IFERROR(_xludf.XLOOKUP(A48,Events!$A$5:$A$200,Events!$B$5:$B$200,0),0)</f>
        <v>0</v>
      </c>
      <c r="C48" s="6">
        <f ca="1">MAX(0,MIN(1, AVERAGE(Inputs!$B$15,Inputs!$B$16,Inputs!$B$17) - 0.35*B48*(1+0.6*Inputs!$B$27) ))</f>
        <v>0.80333333333333334</v>
      </c>
      <c r="D48" s="6">
        <f ca="1">MAX(0,MIN(1, D47 - 0.12*E48 + 0.1*Inputs!$B$25*(1-B48) ))</f>
        <v>1</v>
      </c>
      <c r="E48" s="5">
        <f ca="1">MIN(1, (1-C48)*0.8 + B48*(1+0.8*(1-D47)+0.6*Inputs!$B$27))</f>
        <v>0.15733333333333333</v>
      </c>
      <c r="F48" s="5">
        <f ca="1">IF(L47&lt;Inputs!$B$9,1,0)</f>
        <v>1</v>
      </c>
      <c r="G48" s="5">
        <f ca="1">MAX(0,MIN(1, G47 + Inputs!$B$12*E48*(1-Inputs!$B$24) + Inputs!$B$10*F48 - Inputs!$B$11*Inputs!$B$24*(1-E48) ))</f>
        <v>1</v>
      </c>
      <c r="H48" s="5">
        <f ca="1">MAX(0,MIN(1,
  H47
  + Inputs!$B$12*E48*(1-Inputs!$B$21)
  + Inputs!$B$10*F48
  - Inputs!$B$11*Inputs!$B$21*(1-E48)
))</f>
        <v>1</v>
      </c>
      <c r="I48" s="5">
        <f ca="1">MAX(0,MIN(1,
  I47
  + Inputs!$B$12*E48*(1-Inputs!$B$22)
  + Inputs!$B$10*F48
  - Inputs!$B$11*Inputs!$B$22*(1-E48)
))</f>
        <v>1</v>
      </c>
      <c r="J48" s="5">
        <f ca="1">MAX(0,MIN(1,
  J47
  + Inputs!$B$12*E48*(1-Inputs!$B$23)
  + Inputs!$B$10*F48
  - Inputs!$B$11*Inputs!$B$23*(1-E48)
))</f>
        <v>1</v>
      </c>
      <c r="K48" s="5">
        <f ca="1">MAX(0,MIN(1,
  K47
  + Inputs!$B$12*E48*(1-Inputs!$B$25)
  + Inputs!$B$10*F48
  - Inputs!$B$11*Inputs!$B$25*(1-E48)
))</f>
        <v>1</v>
      </c>
      <c r="L48" s="6">
        <f t="shared" ca="1" si="1"/>
        <v>0.4311666666666667</v>
      </c>
      <c r="M48" s="5" t="str">
        <f ca="1">IF(A48&lt;(Inputs!$B$6+Inputs!$B$8-1),"",
IF(COUNTIF(INDEX($L:$L,ROW(L48)-(Inputs!$B$8-1)):L48,"&lt;"&amp;Inputs!$B$7)=Inputs!$B$8,"COLLAPSE",""))</f>
        <v>COLLAPSE</v>
      </c>
    </row>
    <row r="49" spans="1:13" x14ac:dyDescent="0.25">
      <c r="A49" s="6">
        <v>44</v>
      </c>
      <c r="B49" s="6">
        <f ca="1">IFERROR(_xludf.XLOOKUP(A49,Events!$A$5:$A$200,Events!$B$5:$B$200,0),0)</f>
        <v>0</v>
      </c>
      <c r="C49" s="6">
        <f ca="1">MAX(0,MIN(1, AVERAGE(Inputs!$B$15,Inputs!$B$16,Inputs!$B$17) - 0.35*B49*(1+0.6*Inputs!$B$27) ))</f>
        <v>0.80333333333333334</v>
      </c>
      <c r="D49" s="6">
        <f ca="1">MAX(0,MIN(1, D48 - 0.12*E49 + 0.1*Inputs!$B$25*(1-B49) ))</f>
        <v>1</v>
      </c>
      <c r="E49" s="5">
        <f ca="1">MIN(1, (1-C49)*0.8 + B49*(1+0.8*(1-D48)+0.6*Inputs!$B$27))</f>
        <v>0.15733333333333333</v>
      </c>
      <c r="F49" s="5">
        <f ca="1">IF(L48&lt;Inputs!$B$9,1,0)</f>
        <v>1</v>
      </c>
      <c r="G49" s="5">
        <f ca="1">MAX(0,MIN(1, G48 + Inputs!$B$12*E49*(1-Inputs!$B$24) + Inputs!$B$10*F49 - Inputs!$B$11*Inputs!$B$24*(1-E49) ))</f>
        <v>1</v>
      </c>
      <c r="H49" s="5">
        <f ca="1">MAX(0,MIN(1,
  H48
  + Inputs!$B$12*E49*(1-Inputs!$B$21)
  + Inputs!$B$10*F49
  - Inputs!$B$11*Inputs!$B$21*(1-E49)
))</f>
        <v>1</v>
      </c>
      <c r="I49" s="5">
        <f ca="1">MAX(0,MIN(1,
  I48
  + Inputs!$B$12*E49*(1-Inputs!$B$22)
  + Inputs!$B$10*F49
  - Inputs!$B$11*Inputs!$B$22*(1-E49)
))</f>
        <v>1</v>
      </c>
      <c r="J49" s="5">
        <f ca="1">MAX(0,MIN(1,
  J48
  + Inputs!$B$12*E49*(1-Inputs!$B$23)
  + Inputs!$B$10*F49
  - Inputs!$B$11*Inputs!$B$23*(1-E49)
))</f>
        <v>1</v>
      </c>
      <c r="K49" s="5">
        <f ca="1">MAX(0,MIN(1,
  K48
  + Inputs!$B$12*E49*(1-Inputs!$B$25)
  + Inputs!$B$10*F49
  - Inputs!$B$11*Inputs!$B$25*(1-E49)
))</f>
        <v>1</v>
      </c>
      <c r="L49" s="6">
        <f t="shared" ca="1" si="1"/>
        <v>0.4311666666666667</v>
      </c>
      <c r="M49" s="5" t="str">
        <f ca="1">IF(A49&lt;(Inputs!$B$6+Inputs!$B$8-1),"",
IF(COUNTIF(INDEX($L:$L,ROW(L49)-(Inputs!$B$8-1)):L49,"&lt;"&amp;Inputs!$B$7)=Inputs!$B$8,"COLLAPSE",""))</f>
        <v>COLLAPSE</v>
      </c>
    </row>
    <row r="50" spans="1:13" x14ac:dyDescent="0.25">
      <c r="A50" s="6">
        <v>45</v>
      </c>
      <c r="B50" s="6">
        <f ca="1">IFERROR(_xludf.XLOOKUP(A50,Events!$A$5:$A$200,Events!$B$5:$B$200,0),0)</f>
        <v>0</v>
      </c>
      <c r="C50" s="6">
        <f ca="1">MAX(0,MIN(1, AVERAGE(Inputs!$B$15,Inputs!$B$16,Inputs!$B$17) - 0.35*B50*(1+0.6*Inputs!$B$27) ))</f>
        <v>0.80333333333333334</v>
      </c>
      <c r="D50" s="6">
        <f ca="1">MAX(0,MIN(1, D49 - 0.12*E50 + 0.1*Inputs!$B$25*(1-B50) ))</f>
        <v>1</v>
      </c>
      <c r="E50" s="5">
        <f ca="1">MIN(1, (1-C50)*0.8 + B50*(1+0.8*(1-D49)+0.6*Inputs!$B$27))</f>
        <v>0.15733333333333333</v>
      </c>
      <c r="F50" s="5">
        <f ca="1">IF(L49&lt;Inputs!$B$9,1,0)</f>
        <v>1</v>
      </c>
      <c r="G50" s="5">
        <f ca="1">MAX(0,MIN(1, G49 + Inputs!$B$12*E50*(1-Inputs!$B$24) + Inputs!$B$10*F50 - Inputs!$B$11*Inputs!$B$24*(1-E50) ))</f>
        <v>1</v>
      </c>
      <c r="H50" s="5">
        <f ca="1">MAX(0,MIN(1,
  H49
  + Inputs!$B$12*E50*(1-Inputs!$B$21)
  + Inputs!$B$10*F50
  - Inputs!$B$11*Inputs!$B$21*(1-E50)
))</f>
        <v>1</v>
      </c>
      <c r="I50" s="5">
        <f ca="1">MAX(0,MIN(1,
  I49
  + Inputs!$B$12*E50*(1-Inputs!$B$22)
  + Inputs!$B$10*F50
  - Inputs!$B$11*Inputs!$B$22*(1-E50)
))</f>
        <v>1</v>
      </c>
      <c r="J50" s="5">
        <f ca="1">MAX(0,MIN(1,
  J49
  + Inputs!$B$12*E50*(1-Inputs!$B$23)
  + Inputs!$B$10*F50
  - Inputs!$B$11*Inputs!$B$23*(1-E50)
))</f>
        <v>1</v>
      </c>
      <c r="K50" s="5">
        <f ca="1">MAX(0,MIN(1,
  K49
  + Inputs!$B$12*E50*(1-Inputs!$B$25)
  + Inputs!$B$10*F50
  - Inputs!$B$11*Inputs!$B$25*(1-E50)
))</f>
        <v>1</v>
      </c>
      <c r="L50" s="6">
        <f t="shared" ca="1" si="1"/>
        <v>0.4311666666666667</v>
      </c>
      <c r="M50" s="5" t="str">
        <f ca="1">IF(A50&lt;(Inputs!$B$6+Inputs!$B$8-1),"",
IF(COUNTIF(INDEX($L:$L,ROW(L50)-(Inputs!$B$8-1)):L50,"&lt;"&amp;Inputs!$B$7)=Inputs!$B$8,"COLLAPSE",""))</f>
        <v>COLLAPSE</v>
      </c>
    </row>
    <row r="51" spans="1:13" x14ac:dyDescent="0.25">
      <c r="A51" s="6">
        <v>46</v>
      </c>
      <c r="B51" s="6">
        <f ca="1">IFERROR(_xludf.XLOOKUP(A51,Events!$A$5:$A$200,Events!$B$5:$B$200,0),0)</f>
        <v>0</v>
      </c>
      <c r="C51" s="6">
        <f ca="1">MAX(0,MIN(1, AVERAGE(Inputs!$B$15,Inputs!$B$16,Inputs!$B$17) - 0.35*B51*(1+0.6*Inputs!$B$27) ))</f>
        <v>0.80333333333333334</v>
      </c>
      <c r="D51" s="6">
        <f ca="1">MAX(0,MIN(1, D50 - 0.12*E51 + 0.1*Inputs!$B$25*(1-B51) ))</f>
        <v>1</v>
      </c>
      <c r="E51" s="5">
        <f ca="1">MIN(1, (1-C51)*0.8 + B51*(1+0.8*(1-D50)+0.6*Inputs!$B$27))</f>
        <v>0.15733333333333333</v>
      </c>
      <c r="F51" s="5">
        <f ca="1">IF(L50&lt;Inputs!$B$9,1,0)</f>
        <v>1</v>
      </c>
      <c r="G51" s="5">
        <f ca="1">MAX(0,MIN(1, G50 + Inputs!$B$12*E51*(1-Inputs!$B$24) + Inputs!$B$10*F51 - Inputs!$B$11*Inputs!$B$24*(1-E51) ))</f>
        <v>1</v>
      </c>
      <c r="H51" s="5">
        <f ca="1">MAX(0,MIN(1,
  H50
  + Inputs!$B$12*E51*(1-Inputs!$B$21)
  + Inputs!$B$10*F51
  - Inputs!$B$11*Inputs!$B$21*(1-E51)
))</f>
        <v>1</v>
      </c>
      <c r="I51" s="5">
        <f ca="1">MAX(0,MIN(1,
  I50
  + Inputs!$B$12*E51*(1-Inputs!$B$22)
  + Inputs!$B$10*F51
  - Inputs!$B$11*Inputs!$B$22*(1-E51)
))</f>
        <v>1</v>
      </c>
      <c r="J51" s="5">
        <f ca="1">MAX(0,MIN(1,
  J50
  + Inputs!$B$12*E51*(1-Inputs!$B$23)
  + Inputs!$B$10*F51
  - Inputs!$B$11*Inputs!$B$23*(1-E51)
))</f>
        <v>1</v>
      </c>
      <c r="K51" s="5">
        <f ca="1">MAX(0,MIN(1,
  K50
  + Inputs!$B$12*E51*(1-Inputs!$B$25)
  + Inputs!$B$10*F51
  - Inputs!$B$11*Inputs!$B$25*(1-E51)
))</f>
        <v>1</v>
      </c>
      <c r="L51" s="6">
        <f t="shared" ca="1" si="1"/>
        <v>0.4311666666666667</v>
      </c>
      <c r="M51" s="5" t="str">
        <f ca="1">IF(A51&lt;(Inputs!$B$6+Inputs!$B$8-1),"",
IF(COUNTIF(INDEX($L:$L,ROW(L51)-(Inputs!$B$8-1)):L51,"&lt;"&amp;Inputs!$B$7)=Inputs!$B$8,"COLLAPSE",""))</f>
        <v>COLLAPSE</v>
      </c>
    </row>
    <row r="52" spans="1:13" x14ac:dyDescent="0.25">
      <c r="A52" s="6">
        <v>47</v>
      </c>
      <c r="B52" s="6">
        <f ca="1">IFERROR(_xludf.XLOOKUP(A52,Events!$A$5:$A$200,Events!$B$5:$B$200,0),0)</f>
        <v>0</v>
      </c>
      <c r="C52" s="6">
        <f ca="1">MAX(0,MIN(1, AVERAGE(Inputs!$B$15,Inputs!$B$16,Inputs!$B$17) - 0.35*B52*(1+0.6*Inputs!$B$27) ))</f>
        <v>0.80333333333333334</v>
      </c>
      <c r="D52" s="6">
        <f ca="1">MAX(0,MIN(1, D51 - 0.12*E52 + 0.1*Inputs!$B$25*(1-B52) ))</f>
        <v>1</v>
      </c>
      <c r="E52" s="5">
        <f ca="1">MIN(1, (1-C52)*0.8 + B52*(1+0.8*(1-D51)+0.6*Inputs!$B$27))</f>
        <v>0.15733333333333333</v>
      </c>
      <c r="F52" s="5">
        <f ca="1">IF(L51&lt;Inputs!$B$9,1,0)</f>
        <v>1</v>
      </c>
      <c r="G52" s="5">
        <f ca="1">MAX(0,MIN(1, G51 + Inputs!$B$12*E52*(1-Inputs!$B$24) + Inputs!$B$10*F52 - Inputs!$B$11*Inputs!$B$24*(1-E52) ))</f>
        <v>1</v>
      </c>
      <c r="H52" s="5">
        <f ca="1">MAX(0,MIN(1,
  H51
  + Inputs!$B$12*E52*(1-Inputs!$B$21)
  + Inputs!$B$10*F52
  - Inputs!$B$11*Inputs!$B$21*(1-E52)
))</f>
        <v>1</v>
      </c>
      <c r="I52" s="5">
        <f ca="1">MAX(0,MIN(1,
  I51
  + Inputs!$B$12*E52*(1-Inputs!$B$22)
  + Inputs!$B$10*F52
  - Inputs!$B$11*Inputs!$B$22*(1-E52)
))</f>
        <v>1</v>
      </c>
      <c r="J52" s="5">
        <f ca="1">MAX(0,MIN(1,
  J51
  + Inputs!$B$12*E52*(1-Inputs!$B$23)
  + Inputs!$B$10*F52
  - Inputs!$B$11*Inputs!$B$23*(1-E52)
))</f>
        <v>1</v>
      </c>
      <c r="K52" s="5">
        <f ca="1">MAX(0,MIN(1,
  K51
  + Inputs!$B$12*E52*(1-Inputs!$B$25)
  + Inputs!$B$10*F52
  - Inputs!$B$11*Inputs!$B$25*(1-E52)
))</f>
        <v>1</v>
      </c>
      <c r="L52" s="6">
        <f t="shared" ca="1" si="1"/>
        <v>0.4311666666666667</v>
      </c>
      <c r="M52" s="5" t="str">
        <f ca="1">IF(A52&lt;(Inputs!$B$6+Inputs!$B$8-1),"",
IF(COUNTIF(INDEX($L:$L,ROW(L52)-(Inputs!$B$8-1)):L52,"&lt;"&amp;Inputs!$B$7)=Inputs!$B$8,"COLLAPSE",""))</f>
        <v>COLLAPSE</v>
      </c>
    </row>
    <row r="53" spans="1:13" x14ac:dyDescent="0.25">
      <c r="A53" s="6">
        <v>48</v>
      </c>
      <c r="B53" s="6">
        <f ca="1">IFERROR(_xludf.XLOOKUP(A53,Events!$A$5:$A$200,Events!$B$5:$B$200,0),0)</f>
        <v>0</v>
      </c>
      <c r="C53" s="6">
        <f ca="1">MAX(0,MIN(1, AVERAGE(Inputs!$B$15,Inputs!$B$16,Inputs!$B$17) - 0.35*B53*(1+0.6*Inputs!$B$27) ))</f>
        <v>0.80333333333333334</v>
      </c>
      <c r="D53" s="6">
        <f ca="1">MAX(0,MIN(1, D52 - 0.12*E53 + 0.1*Inputs!$B$25*(1-B53) ))</f>
        <v>1</v>
      </c>
      <c r="E53" s="5">
        <f ca="1">MIN(1, (1-C53)*0.8 + B53*(1+0.8*(1-D52)+0.6*Inputs!$B$27))</f>
        <v>0.15733333333333333</v>
      </c>
      <c r="F53" s="5">
        <f ca="1">IF(L52&lt;Inputs!$B$9,1,0)</f>
        <v>1</v>
      </c>
      <c r="G53" s="5">
        <f ca="1">MAX(0,MIN(1, G52 + Inputs!$B$12*E53*(1-Inputs!$B$24) + Inputs!$B$10*F53 - Inputs!$B$11*Inputs!$B$24*(1-E53) ))</f>
        <v>1</v>
      </c>
      <c r="H53" s="5">
        <f ca="1">MAX(0,MIN(1,
  H52
  + Inputs!$B$12*E53*(1-Inputs!$B$21)
  + Inputs!$B$10*F53
  - Inputs!$B$11*Inputs!$B$21*(1-E53)
))</f>
        <v>1</v>
      </c>
      <c r="I53" s="5">
        <f ca="1">MAX(0,MIN(1,
  I52
  + Inputs!$B$12*E53*(1-Inputs!$B$22)
  + Inputs!$B$10*F53
  - Inputs!$B$11*Inputs!$B$22*(1-E53)
))</f>
        <v>1</v>
      </c>
      <c r="J53" s="5">
        <f ca="1">MAX(0,MIN(1,
  J52
  + Inputs!$B$12*E53*(1-Inputs!$B$23)
  + Inputs!$B$10*F53
  - Inputs!$B$11*Inputs!$B$23*(1-E53)
))</f>
        <v>1</v>
      </c>
      <c r="K53" s="5">
        <f ca="1">MAX(0,MIN(1,
  K52
  + Inputs!$B$12*E53*(1-Inputs!$B$25)
  + Inputs!$B$10*F53
  - Inputs!$B$11*Inputs!$B$25*(1-E53)
))</f>
        <v>1</v>
      </c>
      <c r="L53" s="6">
        <f t="shared" ca="1" si="1"/>
        <v>0.4311666666666667</v>
      </c>
      <c r="M53" s="5" t="str">
        <f ca="1">IF(A53&lt;(Inputs!$B$6+Inputs!$B$8-1),"",
IF(COUNTIF(INDEX($L:$L,ROW(L53)-(Inputs!$B$8-1)):L53,"&lt;"&amp;Inputs!$B$7)=Inputs!$B$8,"COLLAPSE",""))</f>
        <v>COLLAPSE</v>
      </c>
    </row>
    <row r="54" spans="1:13" x14ac:dyDescent="0.25">
      <c r="A54" s="6">
        <v>49</v>
      </c>
      <c r="B54" s="6">
        <f ca="1">IFERROR(_xludf.XLOOKUP(A54,Events!$A$5:$A$200,Events!$B$5:$B$200,0),0)</f>
        <v>0</v>
      </c>
      <c r="C54" s="6">
        <f ca="1">MAX(0,MIN(1, AVERAGE(Inputs!$B$15,Inputs!$B$16,Inputs!$B$17) - 0.35*B54*(1+0.6*Inputs!$B$27) ))</f>
        <v>0.80333333333333334</v>
      </c>
      <c r="D54" s="6">
        <f ca="1">MAX(0,MIN(1, D53 - 0.12*E54 + 0.1*Inputs!$B$25*(1-B54) ))</f>
        <v>1</v>
      </c>
      <c r="E54" s="5">
        <f ca="1">MIN(1, (1-C54)*0.8 + B54*(1+0.8*(1-D53)+0.6*Inputs!$B$27))</f>
        <v>0.15733333333333333</v>
      </c>
      <c r="F54" s="5">
        <f ca="1">IF(L53&lt;Inputs!$B$9,1,0)</f>
        <v>1</v>
      </c>
      <c r="G54" s="5">
        <f ca="1">MAX(0,MIN(1, G53 + Inputs!$B$12*E54*(1-Inputs!$B$24) + Inputs!$B$10*F54 - Inputs!$B$11*Inputs!$B$24*(1-E54) ))</f>
        <v>1</v>
      </c>
      <c r="H54" s="5">
        <f ca="1">MAX(0,MIN(1,
  H53
  + Inputs!$B$12*E54*(1-Inputs!$B$21)
  + Inputs!$B$10*F54
  - Inputs!$B$11*Inputs!$B$21*(1-E54)
))</f>
        <v>1</v>
      </c>
      <c r="I54" s="5">
        <f ca="1">MAX(0,MIN(1,
  I53
  + Inputs!$B$12*E54*(1-Inputs!$B$22)
  + Inputs!$B$10*F54
  - Inputs!$B$11*Inputs!$B$22*(1-E54)
))</f>
        <v>1</v>
      </c>
      <c r="J54" s="5">
        <f ca="1">MAX(0,MIN(1,
  J53
  + Inputs!$B$12*E54*(1-Inputs!$B$23)
  + Inputs!$B$10*F54
  - Inputs!$B$11*Inputs!$B$23*(1-E54)
))</f>
        <v>1</v>
      </c>
      <c r="K54" s="5">
        <f ca="1">MAX(0,MIN(1,
  K53
  + Inputs!$B$12*E54*(1-Inputs!$B$25)
  + Inputs!$B$10*F54
  - Inputs!$B$11*Inputs!$B$25*(1-E54)
))</f>
        <v>1</v>
      </c>
      <c r="L54" s="6">
        <f t="shared" ca="1" si="1"/>
        <v>0.4311666666666667</v>
      </c>
      <c r="M54" s="5" t="str">
        <f ca="1">IF(A54&lt;(Inputs!$B$6+Inputs!$B$8-1),"",
IF(COUNTIF(INDEX($L:$L,ROW(L54)-(Inputs!$B$8-1)):L54,"&lt;"&amp;Inputs!$B$7)=Inputs!$B$8,"COLLAPSE",""))</f>
        <v>COLLAPSE</v>
      </c>
    </row>
    <row r="55" spans="1:13" x14ac:dyDescent="0.25">
      <c r="A55" s="6">
        <v>50</v>
      </c>
      <c r="B55" s="6">
        <f ca="1">IFERROR(_xludf.XLOOKUP(A55,Events!$A$5:$A$200,Events!$B$5:$B$200,0),0)</f>
        <v>0</v>
      </c>
      <c r="C55" s="6">
        <f ca="1">MAX(0,MIN(1, AVERAGE(Inputs!$B$15,Inputs!$B$16,Inputs!$B$17) - 0.35*B55*(1+0.6*Inputs!$B$27) ))</f>
        <v>0.80333333333333334</v>
      </c>
      <c r="D55" s="6">
        <f ca="1">MAX(0,MIN(1, D54 - 0.12*E55 + 0.1*Inputs!$B$25*(1-B55) ))</f>
        <v>1</v>
      </c>
      <c r="E55" s="5">
        <f ca="1">MIN(1, (1-C55)*0.8 + B55*(1+0.8*(1-D54)+0.6*Inputs!$B$27))</f>
        <v>0.15733333333333333</v>
      </c>
      <c r="F55" s="5">
        <f ca="1">IF(L54&lt;Inputs!$B$9,1,0)</f>
        <v>1</v>
      </c>
      <c r="G55" s="5">
        <f ca="1">MAX(0,MIN(1, G54 + Inputs!$B$12*E55*(1-Inputs!$B$24) + Inputs!$B$10*F55 - Inputs!$B$11*Inputs!$B$24*(1-E55) ))</f>
        <v>1</v>
      </c>
      <c r="H55" s="5">
        <f ca="1">MAX(0,MIN(1,
  H54
  + Inputs!$B$12*E55*(1-Inputs!$B$21)
  + Inputs!$B$10*F55
  - Inputs!$B$11*Inputs!$B$21*(1-E55)
))</f>
        <v>1</v>
      </c>
      <c r="I55" s="5">
        <f ca="1">MAX(0,MIN(1,
  I54
  + Inputs!$B$12*E55*(1-Inputs!$B$22)
  + Inputs!$B$10*F55
  - Inputs!$B$11*Inputs!$B$22*(1-E55)
))</f>
        <v>1</v>
      </c>
      <c r="J55" s="5">
        <f ca="1">MAX(0,MIN(1,
  J54
  + Inputs!$B$12*E55*(1-Inputs!$B$23)
  + Inputs!$B$10*F55
  - Inputs!$B$11*Inputs!$B$23*(1-E55)
))</f>
        <v>1</v>
      </c>
      <c r="K55" s="5">
        <f ca="1">MAX(0,MIN(1,
  K54
  + Inputs!$B$12*E55*(1-Inputs!$B$25)
  + Inputs!$B$10*F55
  - Inputs!$B$11*Inputs!$B$25*(1-E55)
))</f>
        <v>1</v>
      </c>
      <c r="L55" s="6">
        <f t="shared" ca="1" si="1"/>
        <v>0.4311666666666667</v>
      </c>
      <c r="M55" s="5" t="str">
        <f ca="1">IF(A55&lt;(Inputs!$B$6+Inputs!$B$8-1),"",
IF(COUNTIF(INDEX($L:$L,ROW(L55)-(Inputs!$B$8-1)):L55,"&lt;"&amp;Inputs!$B$7)=Inputs!$B$8,"COLLAPSE",""))</f>
        <v>COLLAPSE</v>
      </c>
    </row>
    <row r="56" spans="1:13" x14ac:dyDescent="0.25">
      <c r="A56" s="6">
        <v>51</v>
      </c>
      <c r="B56" s="6">
        <f ca="1">IFERROR(_xludf.XLOOKUP(A56,Events!$A$5:$A$200,Events!$B$5:$B$200,0),0)</f>
        <v>0</v>
      </c>
      <c r="C56" s="6">
        <f ca="1">MAX(0,MIN(1, AVERAGE(Inputs!$B$15,Inputs!$B$16,Inputs!$B$17) - 0.35*B56*(1+0.6*Inputs!$B$27) ))</f>
        <v>0.80333333333333334</v>
      </c>
      <c r="D56" s="6">
        <f ca="1">MAX(0,MIN(1, D55 - 0.12*E56 + 0.1*Inputs!$B$25*(1-B56) ))</f>
        <v>1</v>
      </c>
      <c r="E56" s="5">
        <f ca="1">MIN(1, (1-C56)*0.8 + B56*(1+0.8*(1-D55)+0.6*Inputs!$B$27))</f>
        <v>0.15733333333333333</v>
      </c>
      <c r="F56" s="5">
        <f ca="1">IF(L55&lt;Inputs!$B$9,1,0)</f>
        <v>1</v>
      </c>
      <c r="G56" s="5">
        <f ca="1">MAX(0,MIN(1, G55 + Inputs!$B$12*E56*(1-Inputs!$B$24) + Inputs!$B$10*F56 - Inputs!$B$11*Inputs!$B$24*(1-E56) ))</f>
        <v>1</v>
      </c>
      <c r="H56" s="5">
        <f ca="1">MAX(0,MIN(1,
  H55
  + Inputs!$B$12*E56*(1-Inputs!$B$21)
  + Inputs!$B$10*F56
  - Inputs!$B$11*Inputs!$B$21*(1-E56)
))</f>
        <v>1</v>
      </c>
      <c r="I56" s="5">
        <f ca="1">MAX(0,MIN(1,
  I55
  + Inputs!$B$12*E56*(1-Inputs!$B$22)
  + Inputs!$B$10*F56
  - Inputs!$B$11*Inputs!$B$22*(1-E56)
))</f>
        <v>1</v>
      </c>
      <c r="J56" s="5">
        <f ca="1">MAX(0,MIN(1,
  J55
  + Inputs!$B$12*E56*(1-Inputs!$B$23)
  + Inputs!$B$10*F56
  - Inputs!$B$11*Inputs!$B$23*(1-E56)
))</f>
        <v>1</v>
      </c>
      <c r="K56" s="5">
        <f ca="1">MAX(0,MIN(1,
  K55
  + Inputs!$B$12*E56*(1-Inputs!$B$25)
  + Inputs!$B$10*F56
  - Inputs!$B$11*Inputs!$B$25*(1-E56)
))</f>
        <v>1</v>
      </c>
      <c r="L56" s="6">
        <f t="shared" ca="1" si="1"/>
        <v>0.4311666666666667</v>
      </c>
      <c r="M56" s="5" t="str">
        <f ca="1">IF(A56&lt;(Inputs!$B$6+Inputs!$B$8-1),"",
IF(COUNTIF(INDEX($L:$L,ROW(L56)-(Inputs!$B$8-1)):L56,"&lt;"&amp;Inputs!$B$7)=Inputs!$B$8,"COLLAPSE",""))</f>
        <v>COLLAPSE</v>
      </c>
    </row>
    <row r="57" spans="1:13" x14ac:dyDescent="0.25">
      <c r="A57" s="6">
        <v>52</v>
      </c>
      <c r="B57" s="6">
        <f ca="1">IFERROR(_xludf.XLOOKUP(A57,Events!$A$5:$A$200,Events!$B$5:$B$200,0),0)</f>
        <v>0</v>
      </c>
      <c r="C57" s="6">
        <f ca="1">MAX(0,MIN(1, AVERAGE(Inputs!$B$15,Inputs!$B$16,Inputs!$B$17) - 0.35*B57*(1+0.6*Inputs!$B$27) ))</f>
        <v>0.80333333333333334</v>
      </c>
      <c r="D57" s="6">
        <f ca="1">MAX(0,MIN(1, D56 - 0.12*E57 + 0.1*Inputs!$B$25*(1-B57) ))</f>
        <v>1</v>
      </c>
      <c r="E57" s="5">
        <f ca="1">MIN(1, (1-C57)*0.8 + B57*(1+0.8*(1-D56)+0.6*Inputs!$B$27))</f>
        <v>0.15733333333333333</v>
      </c>
      <c r="F57" s="5">
        <f ca="1">IF(L56&lt;Inputs!$B$9,1,0)</f>
        <v>1</v>
      </c>
      <c r="G57" s="5">
        <f ca="1">MAX(0,MIN(1, G56 + Inputs!$B$12*E57*(1-Inputs!$B$24) + Inputs!$B$10*F57 - Inputs!$B$11*Inputs!$B$24*(1-E57) ))</f>
        <v>1</v>
      </c>
      <c r="H57" s="5">
        <f ca="1">MAX(0,MIN(1,
  H56
  + Inputs!$B$12*E57*(1-Inputs!$B$21)
  + Inputs!$B$10*F57
  - Inputs!$B$11*Inputs!$B$21*(1-E57)
))</f>
        <v>1</v>
      </c>
      <c r="I57" s="5">
        <f ca="1">MAX(0,MIN(1,
  I56
  + Inputs!$B$12*E57*(1-Inputs!$B$22)
  + Inputs!$B$10*F57
  - Inputs!$B$11*Inputs!$B$22*(1-E57)
))</f>
        <v>1</v>
      </c>
      <c r="J57" s="5">
        <f ca="1">MAX(0,MIN(1,
  J56
  + Inputs!$B$12*E57*(1-Inputs!$B$23)
  + Inputs!$B$10*F57
  - Inputs!$B$11*Inputs!$B$23*(1-E57)
))</f>
        <v>1</v>
      </c>
      <c r="K57" s="5">
        <f ca="1">MAX(0,MIN(1,
  K56
  + Inputs!$B$12*E57*(1-Inputs!$B$25)
  + Inputs!$B$10*F57
  - Inputs!$B$11*Inputs!$B$25*(1-E57)
))</f>
        <v>1</v>
      </c>
      <c r="L57" s="6">
        <f t="shared" ca="1" si="1"/>
        <v>0.4311666666666667</v>
      </c>
      <c r="M57" s="5" t="str">
        <f ca="1">IF(A57&lt;(Inputs!$B$6+Inputs!$B$8-1),"",
IF(COUNTIF(INDEX($L:$L,ROW(L57)-(Inputs!$B$8-1)):L57,"&lt;"&amp;Inputs!$B$7)=Inputs!$B$8,"COLLAPSE",""))</f>
        <v>COLLAPSE</v>
      </c>
    </row>
    <row r="58" spans="1:13" x14ac:dyDescent="0.25">
      <c r="A58" s="6">
        <v>53</v>
      </c>
      <c r="B58" s="6">
        <f ca="1">IFERROR(_xludf.XLOOKUP(A58,Events!$A$5:$A$200,Events!$B$5:$B$200,0),0)</f>
        <v>0</v>
      </c>
      <c r="C58" s="6">
        <f ca="1">MAX(0,MIN(1, AVERAGE(Inputs!$B$15,Inputs!$B$16,Inputs!$B$17) - 0.35*B58*(1+0.6*Inputs!$B$27) ))</f>
        <v>0.80333333333333334</v>
      </c>
      <c r="D58" s="6">
        <f ca="1">MAX(0,MIN(1, D57 - 0.12*E58 + 0.1*Inputs!$B$25*(1-B58) ))</f>
        <v>1</v>
      </c>
      <c r="E58" s="5">
        <f ca="1">MIN(1, (1-C58)*0.8 + B58*(1+0.8*(1-D57)+0.6*Inputs!$B$27))</f>
        <v>0.15733333333333333</v>
      </c>
      <c r="F58" s="5">
        <f ca="1">IF(L57&lt;Inputs!$B$9,1,0)</f>
        <v>1</v>
      </c>
      <c r="G58" s="5">
        <f ca="1">MAX(0,MIN(1, G57 + Inputs!$B$12*E58*(1-Inputs!$B$24) + Inputs!$B$10*F58 - Inputs!$B$11*Inputs!$B$24*(1-E58) ))</f>
        <v>1</v>
      </c>
      <c r="H58" s="5">
        <f ca="1">MAX(0,MIN(1,
  H57
  + Inputs!$B$12*E58*(1-Inputs!$B$21)
  + Inputs!$B$10*F58
  - Inputs!$B$11*Inputs!$B$21*(1-E58)
))</f>
        <v>1</v>
      </c>
      <c r="I58" s="5">
        <f ca="1">MAX(0,MIN(1,
  I57
  + Inputs!$B$12*E58*(1-Inputs!$B$22)
  + Inputs!$B$10*F58
  - Inputs!$B$11*Inputs!$B$22*(1-E58)
))</f>
        <v>1</v>
      </c>
      <c r="J58" s="5">
        <f ca="1">MAX(0,MIN(1,
  J57
  + Inputs!$B$12*E58*(1-Inputs!$B$23)
  + Inputs!$B$10*F58
  - Inputs!$B$11*Inputs!$B$23*(1-E58)
))</f>
        <v>1</v>
      </c>
      <c r="K58" s="5">
        <f ca="1">MAX(0,MIN(1,
  K57
  + Inputs!$B$12*E58*(1-Inputs!$B$25)
  + Inputs!$B$10*F58
  - Inputs!$B$11*Inputs!$B$25*(1-E58)
))</f>
        <v>1</v>
      </c>
      <c r="L58" s="6">
        <f t="shared" ca="1" si="1"/>
        <v>0.4311666666666667</v>
      </c>
      <c r="M58" s="5" t="str">
        <f ca="1">IF(A58&lt;(Inputs!$B$6+Inputs!$B$8-1),"",
IF(COUNTIF(INDEX($L:$L,ROW(L58)-(Inputs!$B$8-1)):L58,"&lt;"&amp;Inputs!$B$7)=Inputs!$B$8,"COLLAPSE",""))</f>
        <v>COLLAPSE</v>
      </c>
    </row>
    <row r="59" spans="1:13" x14ac:dyDescent="0.25">
      <c r="A59" s="6">
        <v>54</v>
      </c>
      <c r="B59" s="6">
        <f ca="1">IFERROR(_xludf.XLOOKUP(A59,Events!$A$5:$A$200,Events!$B$5:$B$200,0),0)</f>
        <v>0</v>
      </c>
      <c r="C59" s="6">
        <f ca="1">MAX(0,MIN(1, AVERAGE(Inputs!$B$15,Inputs!$B$16,Inputs!$B$17) - 0.35*B59*(1+0.6*Inputs!$B$27) ))</f>
        <v>0.80333333333333334</v>
      </c>
      <c r="D59" s="6">
        <f ca="1">MAX(0,MIN(1, D58 - 0.12*E59 + 0.1*Inputs!$B$25*(1-B59) ))</f>
        <v>1</v>
      </c>
      <c r="E59" s="5">
        <f ca="1">MIN(1, (1-C59)*0.8 + B59*(1+0.8*(1-D58)+0.6*Inputs!$B$27))</f>
        <v>0.15733333333333333</v>
      </c>
      <c r="F59" s="5">
        <f ca="1">IF(L58&lt;Inputs!$B$9,1,0)</f>
        <v>1</v>
      </c>
      <c r="G59" s="5">
        <f ca="1">MAX(0,MIN(1, G58 + Inputs!$B$12*E59*(1-Inputs!$B$24) + Inputs!$B$10*F59 - Inputs!$B$11*Inputs!$B$24*(1-E59) ))</f>
        <v>1</v>
      </c>
      <c r="H59" s="5">
        <f ca="1">MAX(0,MIN(1,
  H58
  + Inputs!$B$12*E59*(1-Inputs!$B$21)
  + Inputs!$B$10*F59
  - Inputs!$B$11*Inputs!$B$21*(1-E59)
))</f>
        <v>1</v>
      </c>
      <c r="I59" s="5">
        <f ca="1">MAX(0,MIN(1,
  I58
  + Inputs!$B$12*E59*(1-Inputs!$B$22)
  + Inputs!$B$10*F59
  - Inputs!$B$11*Inputs!$B$22*(1-E59)
))</f>
        <v>1</v>
      </c>
      <c r="J59" s="5">
        <f ca="1">MAX(0,MIN(1,
  J58
  + Inputs!$B$12*E59*(1-Inputs!$B$23)
  + Inputs!$B$10*F59
  - Inputs!$B$11*Inputs!$B$23*(1-E59)
))</f>
        <v>1</v>
      </c>
      <c r="K59" s="5">
        <f ca="1">MAX(0,MIN(1,
  K58
  + Inputs!$B$12*E59*(1-Inputs!$B$25)
  + Inputs!$B$10*F59
  - Inputs!$B$11*Inputs!$B$25*(1-E59)
))</f>
        <v>1</v>
      </c>
      <c r="L59" s="6">
        <f t="shared" ca="1" si="1"/>
        <v>0.4311666666666667</v>
      </c>
      <c r="M59" s="5" t="str">
        <f ca="1">IF(A59&lt;(Inputs!$B$6+Inputs!$B$8-1),"",
IF(COUNTIF(INDEX($L:$L,ROW(L59)-(Inputs!$B$8-1)):L59,"&lt;"&amp;Inputs!$B$7)=Inputs!$B$8,"COLLAPSE",""))</f>
        <v>COLLAPSE</v>
      </c>
    </row>
    <row r="60" spans="1:13" x14ac:dyDescent="0.25">
      <c r="A60" s="6">
        <v>55</v>
      </c>
      <c r="B60" s="6">
        <f ca="1">IFERROR(_xludf.XLOOKUP(A60,Events!$A$5:$A$200,Events!$B$5:$B$200,0),0)</f>
        <v>0</v>
      </c>
      <c r="C60" s="6">
        <f ca="1">MAX(0,MIN(1, AVERAGE(Inputs!$B$15,Inputs!$B$16,Inputs!$B$17) - 0.35*B60*(1+0.6*Inputs!$B$27) ))</f>
        <v>0.80333333333333334</v>
      </c>
      <c r="D60" s="6">
        <f ca="1">MAX(0,MIN(1, D59 - 0.12*E60 + 0.1*Inputs!$B$25*(1-B60) ))</f>
        <v>1</v>
      </c>
      <c r="E60" s="5">
        <f ca="1">MIN(1, (1-C60)*0.8 + B60*(1+0.8*(1-D59)+0.6*Inputs!$B$27))</f>
        <v>0.15733333333333333</v>
      </c>
      <c r="F60" s="5">
        <f ca="1">IF(L59&lt;Inputs!$B$9,1,0)</f>
        <v>1</v>
      </c>
      <c r="G60" s="5">
        <f ca="1">MAX(0,MIN(1, G59 + Inputs!$B$12*E60*(1-Inputs!$B$24) + Inputs!$B$10*F60 - Inputs!$B$11*Inputs!$B$24*(1-E60) ))</f>
        <v>1</v>
      </c>
      <c r="H60" s="5">
        <f ca="1">MAX(0,MIN(1,
  H59
  + Inputs!$B$12*E60*(1-Inputs!$B$21)
  + Inputs!$B$10*F60
  - Inputs!$B$11*Inputs!$B$21*(1-E60)
))</f>
        <v>1</v>
      </c>
      <c r="I60" s="5">
        <f ca="1">MAX(0,MIN(1,
  I59
  + Inputs!$B$12*E60*(1-Inputs!$B$22)
  + Inputs!$B$10*F60
  - Inputs!$B$11*Inputs!$B$22*(1-E60)
))</f>
        <v>1</v>
      </c>
      <c r="J60" s="5">
        <f ca="1">MAX(0,MIN(1,
  J59
  + Inputs!$B$12*E60*(1-Inputs!$B$23)
  + Inputs!$B$10*F60
  - Inputs!$B$11*Inputs!$B$23*(1-E60)
))</f>
        <v>1</v>
      </c>
      <c r="K60" s="5">
        <f ca="1">MAX(0,MIN(1,
  K59
  + Inputs!$B$12*E60*(1-Inputs!$B$25)
  + Inputs!$B$10*F60
  - Inputs!$B$11*Inputs!$B$25*(1-E60)
))</f>
        <v>1</v>
      </c>
      <c r="L60" s="6">
        <f t="shared" ca="1" si="1"/>
        <v>0.4311666666666667</v>
      </c>
      <c r="M60" s="5" t="str">
        <f ca="1">IF(A60&lt;(Inputs!$B$6+Inputs!$B$8-1),"",
IF(COUNTIF(INDEX($L:$L,ROW(L60)-(Inputs!$B$8-1)):L60,"&lt;"&amp;Inputs!$B$7)=Inputs!$B$8,"COLLAPSE",""))</f>
        <v>COLLAPSE</v>
      </c>
    </row>
    <row r="61" spans="1:13" x14ac:dyDescent="0.25">
      <c r="A61" s="6">
        <v>56</v>
      </c>
      <c r="B61" s="6">
        <f ca="1">IFERROR(_xludf.XLOOKUP(A61,Events!$A$5:$A$200,Events!$B$5:$B$200,0),0)</f>
        <v>0</v>
      </c>
      <c r="C61" s="6">
        <f ca="1">MAX(0,MIN(1, AVERAGE(Inputs!$B$15,Inputs!$B$16,Inputs!$B$17) - 0.35*B61*(1+0.6*Inputs!$B$27) ))</f>
        <v>0.80333333333333334</v>
      </c>
      <c r="D61" s="6">
        <f ca="1">MAX(0,MIN(1, D60 - 0.12*E61 + 0.1*Inputs!$B$25*(1-B61) ))</f>
        <v>1</v>
      </c>
      <c r="E61" s="5">
        <f ca="1">MIN(1, (1-C61)*0.8 + B61*(1+0.8*(1-D60)+0.6*Inputs!$B$27))</f>
        <v>0.15733333333333333</v>
      </c>
      <c r="F61" s="5">
        <f ca="1">IF(L60&lt;Inputs!$B$9,1,0)</f>
        <v>1</v>
      </c>
      <c r="G61" s="5">
        <f ca="1">MAX(0,MIN(1, G60 + Inputs!$B$12*E61*(1-Inputs!$B$24) + Inputs!$B$10*F61 - Inputs!$B$11*Inputs!$B$24*(1-E61) ))</f>
        <v>1</v>
      </c>
      <c r="H61" s="5">
        <f ca="1">MAX(0,MIN(1,
  H60
  + Inputs!$B$12*E61*(1-Inputs!$B$21)
  + Inputs!$B$10*F61
  - Inputs!$B$11*Inputs!$B$21*(1-E61)
))</f>
        <v>1</v>
      </c>
      <c r="I61" s="5">
        <f ca="1">MAX(0,MIN(1,
  I60
  + Inputs!$B$12*E61*(1-Inputs!$B$22)
  + Inputs!$B$10*F61
  - Inputs!$B$11*Inputs!$B$22*(1-E61)
))</f>
        <v>1</v>
      </c>
      <c r="J61" s="5">
        <f ca="1">MAX(0,MIN(1,
  J60
  + Inputs!$B$12*E61*(1-Inputs!$B$23)
  + Inputs!$B$10*F61
  - Inputs!$B$11*Inputs!$B$23*(1-E61)
))</f>
        <v>1</v>
      </c>
      <c r="K61" s="5">
        <f ca="1">MAX(0,MIN(1,
  K60
  + Inputs!$B$12*E61*(1-Inputs!$B$25)
  + Inputs!$B$10*F61
  - Inputs!$B$11*Inputs!$B$25*(1-E61)
))</f>
        <v>1</v>
      </c>
      <c r="L61" s="6">
        <f t="shared" ca="1" si="1"/>
        <v>0.4311666666666667</v>
      </c>
      <c r="M61" s="5" t="str">
        <f ca="1">IF(A61&lt;(Inputs!$B$6+Inputs!$B$8-1),"",
IF(COUNTIF(INDEX($L:$L,ROW(L61)-(Inputs!$B$8-1)):L61,"&lt;"&amp;Inputs!$B$7)=Inputs!$B$8,"COLLAPSE",""))</f>
        <v>COLLAPSE</v>
      </c>
    </row>
    <row r="62" spans="1:13" x14ac:dyDescent="0.25">
      <c r="A62" s="6">
        <v>57</v>
      </c>
      <c r="B62" s="6">
        <f ca="1">IFERROR(_xludf.XLOOKUP(A62,Events!$A$5:$A$200,Events!$B$5:$B$200,0),0)</f>
        <v>0</v>
      </c>
      <c r="C62" s="6">
        <f ca="1">MAX(0,MIN(1, AVERAGE(Inputs!$B$15,Inputs!$B$16,Inputs!$B$17) - 0.35*B62*(1+0.6*Inputs!$B$27) ))</f>
        <v>0.80333333333333334</v>
      </c>
      <c r="D62" s="6">
        <f ca="1">MAX(0,MIN(1, D61 - 0.12*E62 + 0.1*Inputs!$B$25*(1-B62) ))</f>
        <v>1</v>
      </c>
      <c r="E62" s="5">
        <f ca="1">MIN(1, (1-C62)*0.8 + B62*(1+0.8*(1-D61)+0.6*Inputs!$B$27))</f>
        <v>0.15733333333333333</v>
      </c>
      <c r="F62" s="5">
        <f ca="1">IF(L61&lt;Inputs!$B$9,1,0)</f>
        <v>1</v>
      </c>
      <c r="G62" s="5">
        <f ca="1">MAX(0,MIN(1, G61 + Inputs!$B$12*E62*(1-Inputs!$B$24) + Inputs!$B$10*F62 - Inputs!$B$11*Inputs!$B$24*(1-E62) ))</f>
        <v>1</v>
      </c>
      <c r="H62" s="5">
        <f ca="1">MAX(0,MIN(1,
  H61
  + Inputs!$B$12*E62*(1-Inputs!$B$21)
  + Inputs!$B$10*F62
  - Inputs!$B$11*Inputs!$B$21*(1-E62)
))</f>
        <v>1</v>
      </c>
      <c r="I62" s="5">
        <f ca="1">MAX(0,MIN(1,
  I61
  + Inputs!$B$12*E62*(1-Inputs!$B$22)
  + Inputs!$B$10*F62
  - Inputs!$B$11*Inputs!$B$22*(1-E62)
))</f>
        <v>1</v>
      </c>
      <c r="J62" s="5">
        <f ca="1">MAX(0,MIN(1,
  J61
  + Inputs!$B$12*E62*(1-Inputs!$B$23)
  + Inputs!$B$10*F62
  - Inputs!$B$11*Inputs!$B$23*(1-E62)
))</f>
        <v>1</v>
      </c>
      <c r="K62" s="5">
        <f ca="1">MAX(0,MIN(1,
  K61
  + Inputs!$B$12*E62*(1-Inputs!$B$25)
  + Inputs!$B$10*F62
  - Inputs!$B$11*Inputs!$B$25*(1-E62)
))</f>
        <v>1</v>
      </c>
      <c r="L62" s="6">
        <f t="shared" ca="1" si="1"/>
        <v>0.4311666666666667</v>
      </c>
      <c r="M62" s="5" t="str">
        <f ca="1">IF(A62&lt;(Inputs!$B$6+Inputs!$B$8-1),"",
IF(COUNTIF(INDEX($L:$L,ROW(L62)-(Inputs!$B$8-1)):L62,"&lt;"&amp;Inputs!$B$7)=Inputs!$B$8,"COLLAPSE",""))</f>
        <v>COLLAPSE</v>
      </c>
    </row>
    <row r="63" spans="1:13" x14ac:dyDescent="0.25">
      <c r="A63" s="6">
        <v>58</v>
      </c>
      <c r="B63" s="6">
        <f ca="1">IFERROR(_xludf.XLOOKUP(A63,Events!$A$5:$A$200,Events!$B$5:$B$200,0),0)</f>
        <v>0</v>
      </c>
      <c r="C63" s="6">
        <f ca="1">MAX(0,MIN(1, AVERAGE(Inputs!$B$15,Inputs!$B$16,Inputs!$B$17) - 0.35*B63*(1+0.6*Inputs!$B$27) ))</f>
        <v>0.80333333333333334</v>
      </c>
      <c r="D63" s="6">
        <f ca="1">MAX(0,MIN(1, D62 - 0.12*E63 + 0.1*Inputs!$B$25*(1-B63) ))</f>
        <v>1</v>
      </c>
      <c r="E63" s="5">
        <f ca="1">MIN(1, (1-C63)*0.8 + B63*(1+0.8*(1-D62)+0.6*Inputs!$B$27))</f>
        <v>0.15733333333333333</v>
      </c>
      <c r="F63" s="5">
        <f ca="1">IF(L62&lt;Inputs!$B$9,1,0)</f>
        <v>1</v>
      </c>
      <c r="G63" s="5">
        <f ca="1">MAX(0,MIN(1, G62 + Inputs!$B$12*E63*(1-Inputs!$B$24) + Inputs!$B$10*F63 - Inputs!$B$11*Inputs!$B$24*(1-E63) ))</f>
        <v>1</v>
      </c>
      <c r="H63" s="5">
        <f ca="1">MAX(0,MIN(1,
  H62
  + Inputs!$B$12*E63*(1-Inputs!$B$21)
  + Inputs!$B$10*F63
  - Inputs!$B$11*Inputs!$B$21*(1-E63)
))</f>
        <v>1</v>
      </c>
      <c r="I63" s="5">
        <f ca="1">MAX(0,MIN(1,
  I62
  + Inputs!$B$12*E63*(1-Inputs!$B$22)
  + Inputs!$B$10*F63
  - Inputs!$B$11*Inputs!$B$22*(1-E63)
))</f>
        <v>1</v>
      </c>
      <c r="J63" s="5">
        <f ca="1">MAX(0,MIN(1,
  J62
  + Inputs!$B$12*E63*(1-Inputs!$B$23)
  + Inputs!$B$10*F63
  - Inputs!$B$11*Inputs!$B$23*(1-E63)
))</f>
        <v>1</v>
      </c>
      <c r="K63" s="5">
        <f ca="1">MAX(0,MIN(1,
  K62
  + Inputs!$B$12*E63*(1-Inputs!$B$25)
  + Inputs!$B$10*F63
  - Inputs!$B$11*Inputs!$B$25*(1-E63)
))</f>
        <v>1</v>
      </c>
      <c r="L63" s="6">
        <f t="shared" ca="1" si="1"/>
        <v>0.4311666666666667</v>
      </c>
      <c r="M63" s="5" t="str">
        <f ca="1">IF(A63&lt;(Inputs!$B$6+Inputs!$B$8-1),"",
IF(COUNTIF(INDEX($L:$L,ROW(L63)-(Inputs!$B$8-1)):L63,"&lt;"&amp;Inputs!$B$7)=Inputs!$B$8,"COLLAPSE",""))</f>
        <v>COLLAPSE</v>
      </c>
    </row>
    <row r="64" spans="1:13" x14ac:dyDescent="0.25">
      <c r="A64" s="6">
        <v>59</v>
      </c>
      <c r="B64" s="6">
        <f ca="1">IFERROR(_xludf.XLOOKUP(A64,Events!$A$5:$A$200,Events!$B$5:$B$200,0),0)</f>
        <v>0</v>
      </c>
      <c r="C64" s="6">
        <f ca="1">MAX(0,MIN(1, AVERAGE(Inputs!$B$15,Inputs!$B$16,Inputs!$B$17) - 0.35*B64*(1+0.6*Inputs!$B$27) ))</f>
        <v>0.80333333333333334</v>
      </c>
      <c r="D64" s="6">
        <f ca="1">MAX(0,MIN(1, D63 - 0.12*E64 + 0.1*Inputs!$B$25*(1-B64) ))</f>
        <v>1</v>
      </c>
      <c r="E64" s="5">
        <f ca="1">MIN(1, (1-C64)*0.8 + B64*(1+0.8*(1-D63)+0.6*Inputs!$B$27))</f>
        <v>0.15733333333333333</v>
      </c>
      <c r="F64" s="5">
        <f ca="1">IF(L63&lt;Inputs!$B$9,1,0)</f>
        <v>1</v>
      </c>
      <c r="G64" s="5">
        <f ca="1">MAX(0,MIN(1, G63 + Inputs!$B$12*E64*(1-Inputs!$B$24) + Inputs!$B$10*F64 - Inputs!$B$11*Inputs!$B$24*(1-E64) ))</f>
        <v>1</v>
      </c>
      <c r="H64" s="5">
        <f ca="1">MAX(0,MIN(1,
  H63
  + Inputs!$B$12*E64*(1-Inputs!$B$21)
  + Inputs!$B$10*F64
  - Inputs!$B$11*Inputs!$B$21*(1-E64)
))</f>
        <v>1</v>
      </c>
      <c r="I64" s="5">
        <f ca="1">MAX(0,MIN(1,
  I63
  + Inputs!$B$12*E64*(1-Inputs!$B$22)
  + Inputs!$B$10*F64
  - Inputs!$B$11*Inputs!$B$22*(1-E64)
))</f>
        <v>1</v>
      </c>
      <c r="J64" s="5">
        <f ca="1">MAX(0,MIN(1,
  J63
  + Inputs!$B$12*E64*(1-Inputs!$B$23)
  + Inputs!$B$10*F64
  - Inputs!$B$11*Inputs!$B$23*(1-E64)
))</f>
        <v>1</v>
      </c>
      <c r="K64" s="5">
        <f ca="1">MAX(0,MIN(1,
  K63
  + Inputs!$B$12*E64*(1-Inputs!$B$25)
  + Inputs!$B$10*F64
  - Inputs!$B$11*Inputs!$B$25*(1-E64)
))</f>
        <v>1</v>
      </c>
      <c r="L64" s="6">
        <f t="shared" ca="1" si="1"/>
        <v>0.4311666666666667</v>
      </c>
      <c r="M64" s="5" t="str">
        <f ca="1">IF(A64&lt;(Inputs!$B$6+Inputs!$B$8-1),"",
IF(COUNTIF(INDEX($L:$L,ROW(L64)-(Inputs!$B$8-1)):L64,"&lt;"&amp;Inputs!$B$7)=Inputs!$B$8,"COLLAPSE",""))</f>
        <v>COLLAPSE</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6"/>
  <sheetViews>
    <sheetView showGridLines="0" tabSelected="1" zoomScale="85" zoomScaleNormal="85" workbookViewId="0">
      <pane ySplit="5" topLeftCell="A6" activePane="bottomLeft" state="frozen"/>
      <selection pane="bottomLeft" activeCell="P26" sqref="P26"/>
    </sheetView>
    <sheetView workbookViewId="1"/>
  </sheetViews>
  <sheetFormatPr defaultRowHeight="15" x14ac:dyDescent="0.25"/>
  <cols>
    <col min="1" max="1" width="25.42578125" style="4" customWidth="1"/>
    <col min="2" max="6" width="22" style="4" customWidth="1"/>
    <col min="7" max="10" width="9.140625" style="4"/>
    <col min="11" max="11" width="27.28515625" style="4" customWidth="1"/>
    <col min="12" max="16384" width="9.140625" style="4"/>
  </cols>
  <sheetData>
    <row r="1" spans="1:10" x14ac:dyDescent="0.25">
      <c r="A1" s="7" t="s">
        <v>81</v>
      </c>
      <c r="B1" s="7"/>
      <c r="C1" s="7"/>
      <c r="D1" s="7"/>
      <c r="E1" s="7"/>
      <c r="F1" s="7"/>
    </row>
    <row r="2" spans="1:10" x14ac:dyDescent="0.25">
      <c r="A2" s="8" t="s">
        <v>82</v>
      </c>
      <c r="B2" s="6">
        <f ca="1">INDEX(Simulation!$L$5:$L$64, Inputs!$B$5)</f>
        <v>0.4311666666666667</v>
      </c>
    </row>
    <row r="3" spans="1:10" x14ac:dyDescent="0.25">
      <c r="A3" s="8" t="s">
        <v>83</v>
      </c>
      <c r="B3" s="6" t="str">
        <f ca="1">IF(COUNTIF(Simulation!$M$5:$M$64,"COLLAPSE")&gt;0,"YES","NO")</f>
        <v>YES</v>
      </c>
    </row>
    <row r="5" spans="1:10" x14ac:dyDescent="0.25">
      <c r="A5" s="16" t="s">
        <v>85</v>
      </c>
      <c r="B5" s="9"/>
      <c r="C5" s="9"/>
      <c r="D5" s="9"/>
      <c r="E5" s="9"/>
      <c r="F5" s="9"/>
      <c r="G5" s="9"/>
      <c r="H5" s="9"/>
      <c r="I5" s="9"/>
      <c r="J5" s="9"/>
    </row>
    <row r="6" spans="1:10" ht="30" x14ac:dyDescent="0.25">
      <c r="A6" s="6" t="s">
        <v>58</v>
      </c>
      <c r="B6" s="6" t="s">
        <v>79</v>
      </c>
      <c r="C6" s="6" t="s">
        <v>84</v>
      </c>
      <c r="D6" s="6" t="s">
        <v>24</v>
      </c>
      <c r="F6" s="6" t="s">
        <v>74</v>
      </c>
      <c r="G6" s="6" t="s">
        <v>75</v>
      </c>
      <c r="H6" s="6" t="s">
        <v>76</v>
      </c>
      <c r="I6" s="6" t="s">
        <v>77</v>
      </c>
      <c r="J6" s="6" t="s">
        <v>78</v>
      </c>
    </row>
    <row r="7" spans="1:10" x14ac:dyDescent="0.25">
      <c r="A7" s="5">
        <v>0</v>
      </c>
      <c r="B7" s="5">
        <f ca="1">Simulation!L5</f>
        <v>0.84866666666666668</v>
      </c>
      <c r="C7" s="5">
        <f>Inputs!$B$7</f>
        <v>0.85</v>
      </c>
      <c r="D7" s="5">
        <f>Inputs!$B$9</f>
        <v>0.78</v>
      </c>
      <c r="F7" s="5">
        <f>Simulation!G5</f>
        <v>0</v>
      </c>
      <c r="G7" s="5">
        <f>Simulation!H5</f>
        <v>0</v>
      </c>
      <c r="H7" s="5">
        <f>Simulation!I5</f>
        <v>0</v>
      </c>
      <c r="I7" s="5">
        <f>Simulation!J5</f>
        <v>0</v>
      </c>
      <c r="J7" s="5">
        <f>Simulation!K5</f>
        <v>0</v>
      </c>
    </row>
    <row r="8" spans="1:10" x14ac:dyDescent="0.25">
      <c r="A8" s="5">
        <v>1</v>
      </c>
      <c r="B8" s="5">
        <f ca="1">Simulation!L6</f>
        <v>0.80809801333333331</v>
      </c>
      <c r="C8" s="5">
        <f>Inputs!$B$7</f>
        <v>0.85</v>
      </c>
      <c r="D8" s="5">
        <f>Inputs!$B$9</f>
        <v>0.78</v>
      </c>
      <c r="F8" s="5">
        <f ca="1">Simulation!G6</f>
        <v>0.11125733333333332</v>
      </c>
      <c r="G8" s="5">
        <f ca="1">Simulation!H6</f>
        <v>0.10451466666666667</v>
      </c>
      <c r="H8" s="5">
        <f ca="1">Simulation!I6</f>
        <v>9.1029333333333337E-2</v>
      </c>
      <c r="I8" s="5">
        <f ca="1">Simulation!J6</f>
        <v>0.10451466666666667</v>
      </c>
      <c r="J8" s="5">
        <f ca="1">Simulation!K6</f>
        <v>4.3830666666666657E-2</v>
      </c>
    </row>
    <row r="9" spans="1:10" x14ac:dyDescent="0.25">
      <c r="A9" s="5">
        <v>2</v>
      </c>
      <c r="B9" s="5">
        <f ca="1">Simulation!L7</f>
        <v>0.76752935999999994</v>
      </c>
      <c r="C9" s="5">
        <f>Inputs!$B$7</f>
        <v>0.85</v>
      </c>
      <c r="D9" s="5">
        <f>Inputs!$B$9</f>
        <v>0.78</v>
      </c>
      <c r="F9" s="5">
        <f ca="1">Simulation!G7</f>
        <v>0.22251466666666664</v>
      </c>
      <c r="G9" s="5">
        <f ca="1">Simulation!H7</f>
        <v>0.20902933333333332</v>
      </c>
      <c r="H9" s="5">
        <f ca="1">Simulation!I7</f>
        <v>0.18205866666666667</v>
      </c>
      <c r="I9" s="5">
        <f ca="1">Simulation!J7</f>
        <v>0.20902933333333332</v>
      </c>
      <c r="J9" s="5">
        <f ca="1">Simulation!K7</f>
        <v>8.7661333333333313E-2</v>
      </c>
    </row>
    <row r="10" spans="1:10" x14ac:dyDescent="0.25">
      <c r="A10" s="5">
        <v>3</v>
      </c>
      <c r="B10" s="5">
        <f ca="1">Simulation!L8</f>
        <v>0.70696070666666677</v>
      </c>
      <c r="C10" s="5">
        <f>Inputs!$B$7</f>
        <v>0.85</v>
      </c>
      <c r="D10" s="5">
        <f>Inputs!$B$9</f>
        <v>0.78</v>
      </c>
      <c r="F10" s="5">
        <f ca="1">Simulation!G8</f>
        <v>0.37377199999999994</v>
      </c>
      <c r="G10" s="5">
        <f ca="1">Simulation!H8</f>
        <v>0.35354399999999997</v>
      </c>
      <c r="H10" s="5">
        <f ca="1">Simulation!I8</f>
        <v>0.31308799999999998</v>
      </c>
      <c r="I10" s="5">
        <f ca="1">Simulation!J8</f>
        <v>0.35354399999999997</v>
      </c>
      <c r="J10" s="5">
        <f ca="1">Simulation!K8</f>
        <v>0.17149199999999998</v>
      </c>
    </row>
    <row r="11" spans="1:10" x14ac:dyDescent="0.25">
      <c r="A11" s="5">
        <v>4</v>
      </c>
      <c r="B11" s="5">
        <f ca="1">Simulation!L9</f>
        <v>0.64639205333333338</v>
      </c>
      <c r="C11" s="5">
        <f>Inputs!$B$7</f>
        <v>0.85</v>
      </c>
      <c r="D11" s="5">
        <f>Inputs!$B$9</f>
        <v>0.78</v>
      </c>
      <c r="F11" s="5">
        <f ca="1">Simulation!G9</f>
        <v>0.52502933333333324</v>
      </c>
      <c r="G11" s="5">
        <f ca="1">Simulation!H9</f>
        <v>0.49805866666666665</v>
      </c>
      <c r="H11" s="5">
        <f ca="1">Simulation!I9</f>
        <v>0.44411733333333325</v>
      </c>
      <c r="I11" s="5">
        <f ca="1">Simulation!J9</f>
        <v>0.49805866666666665</v>
      </c>
      <c r="J11" s="5">
        <f ca="1">Simulation!K9</f>
        <v>0.25532266666666659</v>
      </c>
    </row>
    <row r="12" spans="1:10" x14ac:dyDescent="0.25">
      <c r="A12" s="5">
        <v>5</v>
      </c>
      <c r="B12" s="5">
        <f ca="1">Simulation!L10</f>
        <v>0.58582339999999999</v>
      </c>
      <c r="C12" s="5">
        <f>Inputs!$B$7</f>
        <v>0.85</v>
      </c>
      <c r="D12" s="5">
        <f>Inputs!$B$9</f>
        <v>0.78</v>
      </c>
      <c r="F12" s="5">
        <f ca="1">Simulation!G10</f>
        <v>0.67628666666666659</v>
      </c>
      <c r="G12" s="5">
        <f ca="1">Simulation!H10</f>
        <v>0.64257333333333333</v>
      </c>
      <c r="H12" s="5">
        <f ca="1">Simulation!I10</f>
        <v>0.57514666666666669</v>
      </c>
      <c r="I12" s="5">
        <f ca="1">Simulation!J10</f>
        <v>0.64257333333333333</v>
      </c>
      <c r="J12" s="5">
        <f ca="1">Simulation!K10</f>
        <v>0.3391533333333332</v>
      </c>
    </row>
    <row r="13" spans="1:10" x14ac:dyDescent="0.25">
      <c r="A13" s="5">
        <v>6</v>
      </c>
      <c r="B13" s="5">
        <f ca="1">Simulation!L11</f>
        <v>0.52525474666666672</v>
      </c>
      <c r="C13" s="5">
        <f>Inputs!$B$7</f>
        <v>0.85</v>
      </c>
      <c r="D13" s="5">
        <f>Inputs!$B$9</f>
        <v>0.78</v>
      </c>
      <c r="F13" s="5">
        <f ca="1">Simulation!G11</f>
        <v>0.82754399999999995</v>
      </c>
      <c r="G13" s="5">
        <f ca="1">Simulation!H11</f>
        <v>0.78708800000000001</v>
      </c>
      <c r="H13" s="5">
        <f ca="1">Simulation!I11</f>
        <v>0.70617600000000014</v>
      </c>
      <c r="I13" s="5">
        <f ca="1">Simulation!J11</f>
        <v>0.78708800000000001</v>
      </c>
      <c r="J13" s="5">
        <f ca="1">Simulation!K11</f>
        <v>0.4229839999999998</v>
      </c>
    </row>
    <row r="14" spans="1:10" x14ac:dyDescent="0.25">
      <c r="A14" s="5">
        <v>7</v>
      </c>
      <c r="B14" s="5">
        <f ca="1">Simulation!L12</f>
        <v>0.46468609333333333</v>
      </c>
      <c r="C14" s="5">
        <f>Inputs!$B$7</f>
        <v>0.85</v>
      </c>
      <c r="D14" s="5">
        <f>Inputs!$B$9</f>
        <v>0.78</v>
      </c>
      <c r="F14" s="5">
        <f ca="1">Simulation!G12</f>
        <v>0.9788013333333333</v>
      </c>
      <c r="G14" s="5">
        <f ca="1">Simulation!H12</f>
        <v>0.93160266666666669</v>
      </c>
      <c r="H14" s="5">
        <f ca="1">Simulation!I12</f>
        <v>0.83720533333333358</v>
      </c>
      <c r="I14" s="5">
        <f ca="1">Simulation!J12</f>
        <v>0.93160266666666669</v>
      </c>
      <c r="J14" s="5">
        <f ca="1">Simulation!K12</f>
        <v>0.50681466666666641</v>
      </c>
    </row>
    <row r="15" spans="1:10" x14ac:dyDescent="0.25">
      <c r="A15" s="5">
        <v>8</v>
      </c>
      <c r="B15" s="5">
        <f ca="1">Simulation!L13</f>
        <v>0.43234677333333338</v>
      </c>
      <c r="C15" s="5">
        <f>Inputs!$B$7</f>
        <v>0.85</v>
      </c>
      <c r="D15" s="5">
        <f>Inputs!$B$9</f>
        <v>0.78</v>
      </c>
      <c r="F15" s="5">
        <f ca="1">Simulation!G13</f>
        <v>1</v>
      </c>
      <c r="G15" s="5">
        <f ca="1">Simulation!H13</f>
        <v>1</v>
      </c>
      <c r="H15" s="5">
        <f ca="1">Simulation!I13</f>
        <v>0.96823466666666702</v>
      </c>
      <c r="I15" s="5">
        <f ca="1">Simulation!J13</f>
        <v>1</v>
      </c>
      <c r="J15" s="5">
        <f ca="1">Simulation!K13</f>
        <v>0.59064533333333313</v>
      </c>
    </row>
    <row r="16" spans="1:10" x14ac:dyDescent="0.25">
      <c r="A16" s="5">
        <v>9</v>
      </c>
      <c r="B16" s="5">
        <f ca="1">Simulation!L14</f>
        <v>0.4267258266666667</v>
      </c>
      <c r="C16" s="5">
        <f>Inputs!$B$7</f>
        <v>0.85</v>
      </c>
      <c r="D16" s="5">
        <f>Inputs!$B$9</f>
        <v>0.78</v>
      </c>
      <c r="F16" s="5">
        <f ca="1">Simulation!G14</f>
        <v>1</v>
      </c>
      <c r="G16" s="5">
        <f ca="1">Simulation!H14</f>
        <v>1</v>
      </c>
      <c r="H16" s="5">
        <f ca="1">Simulation!I14</f>
        <v>1</v>
      </c>
      <c r="I16" s="5">
        <f ca="1">Simulation!J14</f>
        <v>1</v>
      </c>
      <c r="J16" s="5">
        <f ca="1">Simulation!K14</f>
        <v>0.67447599999999985</v>
      </c>
    </row>
    <row r="17" spans="1:11" x14ac:dyDescent="0.25">
      <c r="A17" s="5">
        <v>10</v>
      </c>
      <c r="B17" s="5">
        <f ca="1">Simulation!L15</f>
        <v>0.42459906666666675</v>
      </c>
      <c r="C17" s="5">
        <f>Inputs!$B$7</f>
        <v>0.85</v>
      </c>
      <c r="D17" s="5">
        <f>Inputs!$B$9</f>
        <v>0.78</v>
      </c>
      <c r="F17" s="5">
        <f ca="1">Simulation!G15</f>
        <v>1</v>
      </c>
      <c r="G17" s="5">
        <f ca="1">Simulation!H15</f>
        <v>1</v>
      </c>
      <c r="H17" s="5">
        <f ca="1">Simulation!I15</f>
        <v>1</v>
      </c>
      <c r="I17" s="5">
        <f ca="1">Simulation!J15</f>
        <v>1</v>
      </c>
      <c r="J17" s="5">
        <f ca="1">Simulation!K15</f>
        <v>0.75830666666666657</v>
      </c>
    </row>
    <row r="18" spans="1:11" x14ac:dyDescent="0.25">
      <c r="A18" s="5">
        <v>11</v>
      </c>
      <c r="B18" s="5">
        <f ca="1">Simulation!L16</f>
        <v>0.42247230666666674</v>
      </c>
      <c r="C18" s="5">
        <f>Inputs!$B$7</f>
        <v>0.85</v>
      </c>
      <c r="D18" s="5">
        <f>Inputs!$B$9</f>
        <v>0.78</v>
      </c>
      <c r="F18" s="5">
        <f ca="1">Simulation!G16</f>
        <v>1</v>
      </c>
      <c r="G18" s="5">
        <f ca="1">Simulation!H16</f>
        <v>1</v>
      </c>
      <c r="H18" s="5">
        <f ca="1">Simulation!I16</f>
        <v>1</v>
      </c>
      <c r="I18" s="5">
        <f ca="1">Simulation!J16</f>
        <v>1</v>
      </c>
      <c r="J18" s="5">
        <f ca="1">Simulation!K16</f>
        <v>0.84213733333333329</v>
      </c>
    </row>
    <row r="19" spans="1:11" x14ac:dyDescent="0.25">
      <c r="A19" s="5">
        <v>12</v>
      </c>
      <c r="B19" s="5">
        <f ca="1">Simulation!L17</f>
        <v>0.42034554666666674</v>
      </c>
      <c r="C19" s="5">
        <f>Inputs!$B$7</f>
        <v>0.85</v>
      </c>
      <c r="D19" s="5">
        <f>Inputs!$B$9</f>
        <v>0.78</v>
      </c>
      <c r="F19" s="5">
        <f ca="1">Simulation!G17</f>
        <v>1</v>
      </c>
      <c r="G19" s="5">
        <f ca="1">Simulation!H17</f>
        <v>1</v>
      </c>
      <c r="H19" s="5">
        <f ca="1">Simulation!I17</f>
        <v>1</v>
      </c>
      <c r="I19" s="5">
        <f ca="1">Simulation!J17</f>
        <v>1</v>
      </c>
      <c r="J19" s="5">
        <f ca="1">Simulation!K17</f>
        <v>0.92596800000000001</v>
      </c>
    </row>
    <row r="20" spans="1:11" x14ac:dyDescent="0.25">
      <c r="A20" s="5">
        <v>13</v>
      </c>
      <c r="B20" s="5">
        <f ca="1">Simulation!L18</f>
        <v>0.41910066666666673</v>
      </c>
      <c r="C20" s="5">
        <f>Inputs!$B$7</f>
        <v>0.85</v>
      </c>
      <c r="D20" s="5">
        <f>Inputs!$B$9</f>
        <v>0.78</v>
      </c>
      <c r="F20" s="5">
        <f ca="1">Simulation!G18</f>
        <v>1</v>
      </c>
      <c r="G20" s="5">
        <f ca="1">Simulation!H18</f>
        <v>1</v>
      </c>
      <c r="H20" s="5">
        <f ca="1">Simulation!I18</f>
        <v>1</v>
      </c>
      <c r="I20" s="5">
        <f ca="1">Simulation!J18</f>
        <v>1</v>
      </c>
      <c r="J20" s="5">
        <f ca="1">Simulation!K18</f>
        <v>1</v>
      </c>
      <c r="K20" s="19" t="s">
        <v>79</v>
      </c>
    </row>
    <row r="21" spans="1:11" x14ac:dyDescent="0.25">
      <c r="A21" s="5">
        <v>14</v>
      </c>
      <c r="B21" s="5">
        <f ca="1">Simulation!L19</f>
        <v>0.42451866666666671</v>
      </c>
      <c r="C21" s="5">
        <f>Inputs!$B$7</f>
        <v>0.85</v>
      </c>
      <c r="D21" s="5">
        <f>Inputs!$B$9</f>
        <v>0.78</v>
      </c>
      <c r="F21" s="5">
        <f ca="1">Simulation!G19</f>
        <v>1</v>
      </c>
      <c r="G21" s="5">
        <f ca="1">Simulation!H19</f>
        <v>1</v>
      </c>
      <c r="H21" s="5">
        <f ca="1">Simulation!I19</f>
        <v>1</v>
      </c>
      <c r="I21" s="5">
        <f ca="1">Simulation!J19</f>
        <v>1</v>
      </c>
      <c r="J21" s="5">
        <f ca="1">Simulation!K19</f>
        <v>1</v>
      </c>
      <c r="K21" s="17" t="s">
        <v>88</v>
      </c>
    </row>
    <row r="22" spans="1:11" x14ac:dyDescent="0.25">
      <c r="A22" s="5">
        <v>15</v>
      </c>
      <c r="B22" s="5">
        <f ca="1">Simulation!L20</f>
        <v>0.42993666666666674</v>
      </c>
      <c r="C22" s="5">
        <f>Inputs!$B$7</f>
        <v>0.85</v>
      </c>
      <c r="D22" s="5">
        <f>Inputs!$B$9</f>
        <v>0.78</v>
      </c>
      <c r="F22" s="5">
        <f ca="1">Simulation!G20</f>
        <v>1</v>
      </c>
      <c r="G22" s="5">
        <f ca="1">Simulation!H20</f>
        <v>1</v>
      </c>
      <c r="H22" s="5">
        <f ca="1">Simulation!I20</f>
        <v>1</v>
      </c>
      <c r="I22" s="5">
        <f ca="1">Simulation!J20</f>
        <v>1</v>
      </c>
      <c r="J22" s="5">
        <f ca="1">Simulation!K20</f>
        <v>1</v>
      </c>
      <c r="K22" s="18" t="s">
        <v>87</v>
      </c>
    </row>
    <row r="23" spans="1:11" x14ac:dyDescent="0.25">
      <c r="A23" s="5">
        <v>16</v>
      </c>
      <c r="B23" s="5">
        <f ca="1">Simulation!L21</f>
        <v>0.4311666666666667</v>
      </c>
      <c r="C23" s="5">
        <f>Inputs!$B$7</f>
        <v>0.85</v>
      </c>
      <c r="D23" s="5">
        <f>Inputs!$B$9</f>
        <v>0.78</v>
      </c>
      <c r="F23" s="5">
        <f ca="1">Simulation!G21</f>
        <v>1</v>
      </c>
      <c r="G23" s="5">
        <f ca="1">Simulation!H21</f>
        <v>1</v>
      </c>
      <c r="H23" s="5">
        <f ca="1">Simulation!I21</f>
        <v>1</v>
      </c>
      <c r="I23" s="5">
        <f ca="1">Simulation!J21</f>
        <v>1</v>
      </c>
      <c r="J23" s="5">
        <f ca="1">Simulation!K21</f>
        <v>1</v>
      </c>
    </row>
    <row r="24" spans="1:11" x14ac:dyDescent="0.25">
      <c r="A24" s="5">
        <v>17</v>
      </c>
      <c r="B24" s="5">
        <f ca="1">Simulation!L22</f>
        <v>0.4311666666666667</v>
      </c>
      <c r="C24" s="5">
        <f>Inputs!$B$7</f>
        <v>0.85</v>
      </c>
      <c r="D24" s="5">
        <f>Inputs!$B$9</f>
        <v>0.78</v>
      </c>
      <c r="F24" s="5">
        <f ca="1">Simulation!G22</f>
        <v>1</v>
      </c>
      <c r="G24" s="5">
        <f ca="1">Simulation!H22</f>
        <v>1</v>
      </c>
      <c r="H24" s="5">
        <f ca="1">Simulation!I22</f>
        <v>1</v>
      </c>
      <c r="I24" s="5">
        <f ca="1">Simulation!J22</f>
        <v>1</v>
      </c>
      <c r="J24" s="5">
        <f ca="1">Simulation!K22</f>
        <v>1</v>
      </c>
    </row>
    <row r="25" spans="1:11" x14ac:dyDescent="0.25">
      <c r="A25" s="5">
        <v>18</v>
      </c>
      <c r="B25" s="5">
        <f ca="1">Simulation!L23</f>
        <v>0.4311666666666667</v>
      </c>
      <c r="C25" s="5">
        <f>Inputs!$B$7</f>
        <v>0.85</v>
      </c>
      <c r="D25" s="5">
        <f>Inputs!$B$9</f>
        <v>0.78</v>
      </c>
      <c r="F25" s="5">
        <f ca="1">Simulation!G23</f>
        <v>1</v>
      </c>
      <c r="G25" s="5">
        <f ca="1">Simulation!H23</f>
        <v>1</v>
      </c>
      <c r="H25" s="5">
        <f ca="1">Simulation!I23</f>
        <v>1</v>
      </c>
      <c r="I25" s="5">
        <f ca="1">Simulation!J23</f>
        <v>1</v>
      </c>
      <c r="J25" s="5">
        <f ca="1">Simulation!K23</f>
        <v>1</v>
      </c>
    </row>
    <row r="26" spans="1:11" x14ac:dyDescent="0.25">
      <c r="A26" s="5">
        <v>19</v>
      </c>
      <c r="B26" s="5">
        <f ca="1">Simulation!L24</f>
        <v>0.4311666666666667</v>
      </c>
      <c r="C26" s="5">
        <f>Inputs!$B$7</f>
        <v>0.85</v>
      </c>
      <c r="D26" s="5">
        <f>Inputs!$B$9</f>
        <v>0.78</v>
      </c>
      <c r="F26" s="5">
        <f ca="1">Simulation!G24</f>
        <v>1</v>
      </c>
      <c r="G26" s="5">
        <f ca="1">Simulation!H24</f>
        <v>1</v>
      </c>
      <c r="H26" s="5">
        <f ca="1">Simulation!I24</f>
        <v>1</v>
      </c>
      <c r="I26" s="5">
        <f ca="1">Simulation!J24</f>
        <v>1</v>
      </c>
      <c r="J26" s="5">
        <f ca="1">Simulation!K24</f>
        <v>1</v>
      </c>
    </row>
    <row r="27" spans="1:11" x14ac:dyDescent="0.25">
      <c r="A27" s="5">
        <v>20</v>
      </c>
      <c r="B27" s="5">
        <f ca="1">Simulation!L25</f>
        <v>0.4311666666666667</v>
      </c>
      <c r="C27" s="5">
        <f>Inputs!$B$7</f>
        <v>0.85</v>
      </c>
      <c r="D27" s="5">
        <f>Inputs!$B$9</f>
        <v>0.78</v>
      </c>
      <c r="F27" s="5">
        <f ca="1">Simulation!G25</f>
        <v>1</v>
      </c>
      <c r="G27" s="5">
        <f ca="1">Simulation!H25</f>
        <v>1</v>
      </c>
      <c r="H27" s="5">
        <f ca="1">Simulation!I25</f>
        <v>1</v>
      </c>
      <c r="I27" s="5">
        <f ca="1">Simulation!J25</f>
        <v>1</v>
      </c>
      <c r="J27" s="5">
        <f ca="1">Simulation!K25</f>
        <v>1</v>
      </c>
    </row>
    <row r="28" spans="1:11" x14ac:dyDescent="0.25">
      <c r="A28" s="5">
        <v>21</v>
      </c>
      <c r="B28" s="5">
        <f ca="1">Simulation!L26</f>
        <v>0.4311666666666667</v>
      </c>
      <c r="C28" s="5">
        <f>Inputs!$B$7</f>
        <v>0.85</v>
      </c>
      <c r="D28" s="5">
        <f>Inputs!$B$9</f>
        <v>0.78</v>
      </c>
      <c r="F28" s="5">
        <f ca="1">Simulation!G26</f>
        <v>1</v>
      </c>
      <c r="G28" s="5">
        <f ca="1">Simulation!H26</f>
        <v>1</v>
      </c>
      <c r="H28" s="5">
        <f ca="1">Simulation!I26</f>
        <v>1</v>
      </c>
      <c r="I28" s="5">
        <f ca="1">Simulation!J26</f>
        <v>1</v>
      </c>
      <c r="J28" s="5">
        <f ca="1">Simulation!K26</f>
        <v>1</v>
      </c>
    </row>
    <row r="29" spans="1:11" x14ac:dyDescent="0.25">
      <c r="A29" s="5">
        <v>22</v>
      </c>
      <c r="B29" s="5">
        <f ca="1">Simulation!L27</f>
        <v>0.4311666666666667</v>
      </c>
      <c r="C29" s="5">
        <f>Inputs!$B$7</f>
        <v>0.85</v>
      </c>
      <c r="D29" s="5">
        <f>Inputs!$B$9</f>
        <v>0.78</v>
      </c>
      <c r="F29" s="5">
        <f ca="1">Simulation!G27</f>
        <v>1</v>
      </c>
      <c r="G29" s="5">
        <f ca="1">Simulation!H27</f>
        <v>1</v>
      </c>
      <c r="H29" s="5">
        <f ca="1">Simulation!I27</f>
        <v>1</v>
      </c>
      <c r="I29" s="5">
        <f ca="1">Simulation!J27</f>
        <v>1</v>
      </c>
      <c r="J29" s="5">
        <f ca="1">Simulation!K27</f>
        <v>1</v>
      </c>
    </row>
    <row r="30" spans="1:11" x14ac:dyDescent="0.25">
      <c r="A30" s="5">
        <v>23</v>
      </c>
      <c r="B30" s="5">
        <f ca="1">Simulation!L28</f>
        <v>0.4311666666666667</v>
      </c>
      <c r="C30" s="5">
        <f>Inputs!$B$7</f>
        <v>0.85</v>
      </c>
      <c r="D30" s="5">
        <f>Inputs!$B$9</f>
        <v>0.78</v>
      </c>
      <c r="F30" s="5">
        <f ca="1">Simulation!G28</f>
        <v>1</v>
      </c>
      <c r="G30" s="5">
        <f ca="1">Simulation!H28</f>
        <v>1</v>
      </c>
      <c r="H30" s="5">
        <f ca="1">Simulation!I28</f>
        <v>1</v>
      </c>
      <c r="I30" s="5">
        <f ca="1">Simulation!J28</f>
        <v>1</v>
      </c>
      <c r="J30" s="5">
        <f ca="1">Simulation!K28</f>
        <v>1</v>
      </c>
    </row>
    <row r="31" spans="1:11" x14ac:dyDescent="0.25">
      <c r="A31" s="5">
        <v>24</v>
      </c>
      <c r="B31" s="5">
        <f ca="1">Simulation!L29</f>
        <v>0.4311666666666667</v>
      </c>
      <c r="C31" s="5">
        <f>Inputs!$B$7</f>
        <v>0.85</v>
      </c>
      <c r="D31" s="5">
        <f>Inputs!$B$9</f>
        <v>0.78</v>
      </c>
      <c r="F31" s="5">
        <f ca="1">Simulation!G29</f>
        <v>1</v>
      </c>
      <c r="G31" s="5">
        <f ca="1">Simulation!H29</f>
        <v>1</v>
      </c>
      <c r="H31" s="5">
        <f ca="1">Simulation!I29</f>
        <v>1</v>
      </c>
      <c r="I31" s="5">
        <f ca="1">Simulation!J29</f>
        <v>1</v>
      </c>
      <c r="J31" s="5">
        <f ca="1">Simulation!K29</f>
        <v>1</v>
      </c>
    </row>
    <row r="32" spans="1:11" x14ac:dyDescent="0.25">
      <c r="A32" s="5">
        <v>25</v>
      </c>
      <c r="B32" s="5">
        <f ca="1">Simulation!L30</f>
        <v>0.4311666666666667</v>
      </c>
      <c r="C32" s="5">
        <f>Inputs!$B$7</f>
        <v>0.85</v>
      </c>
      <c r="D32" s="5">
        <f>Inputs!$B$9</f>
        <v>0.78</v>
      </c>
      <c r="F32" s="5">
        <f ca="1">Simulation!G30</f>
        <v>1</v>
      </c>
      <c r="G32" s="5">
        <f ca="1">Simulation!H30</f>
        <v>1</v>
      </c>
      <c r="H32" s="5">
        <f ca="1">Simulation!I30</f>
        <v>1</v>
      </c>
      <c r="I32" s="5">
        <f ca="1">Simulation!J30</f>
        <v>1</v>
      </c>
      <c r="J32" s="5">
        <f ca="1">Simulation!K30</f>
        <v>1</v>
      </c>
    </row>
    <row r="33" spans="1:10" x14ac:dyDescent="0.25">
      <c r="A33" s="5">
        <v>26</v>
      </c>
      <c r="B33" s="5">
        <f ca="1">Simulation!L31</f>
        <v>0.4311666666666667</v>
      </c>
      <c r="C33" s="5">
        <f>Inputs!$B$7</f>
        <v>0.85</v>
      </c>
      <c r="D33" s="5">
        <f>Inputs!$B$9</f>
        <v>0.78</v>
      </c>
      <c r="F33" s="5">
        <f ca="1">Simulation!G31</f>
        <v>1</v>
      </c>
      <c r="G33" s="5">
        <f ca="1">Simulation!H31</f>
        <v>1</v>
      </c>
      <c r="H33" s="5">
        <f ca="1">Simulation!I31</f>
        <v>1</v>
      </c>
      <c r="I33" s="5">
        <f ca="1">Simulation!J31</f>
        <v>1</v>
      </c>
      <c r="J33" s="5">
        <f ca="1">Simulation!K31</f>
        <v>1</v>
      </c>
    </row>
    <row r="34" spans="1:10" x14ac:dyDescent="0.25">
      <c r="A34" s="5">
        <v>27</v>
      </c>
      <c r="B34" s="5">
        <f ca="1">Simulation!L32</f>
        <v>0.4311666666666667</v>
      </c>
      <c r="C34" s="5">
        <f>Inputs!$B$7</f>
        <v>0.85</v>
      </c>
      <c r="D34" s="5">
        <f>Inputs!$B$9</f>
        <v>0.78</v>
      </c>
      <c r="F34" s="5">
        <f ca="1">Simulation!G32</f>
        <v>1</v>
      </c>
      <c r="G34" s="5">
        <f ca="1">Simulation!H32</f>
        <v>1</v>
      </c>
      <c r="H34" s="5">
        <f ca="1">Simulation!I32</f>
        <v>1</v>
      </c>
      <c r="I34" s="5">
        <f ca="1">Simulation!J32</f>
        <v>1</v>
      </c>
      <c r="J34" s="5">
        <f ca="1">Simulation!K32</f>
        <v>1</v>
      </c>
    </row>
    <row r="35" spans="1:10" x14ac:dyDescent="0.25">
      <c r="A35" s="5">
        <v>28</v>
      </c>
      <c r="B35" s="5">
        <f ca="1">Simulation!L33</f>
        <v>0.4311666666666667</v>
      </c>
      <c r="C35" s="5">
        <f>Inputs!$B$7</f>
        <v>0.85</v>
      </c>
      <c r="D35" s="5">
        <f>Inputs!$B$9</f>
        <v>0.78</v>
      </c>
      <c r="F35" s="5">
        <f ca="1">Simulation!G33</f>
        <v>1</v>
      </c>
      <c r="G35" s="5">
        <f ca="1">Simulation!H33</f>
        <v>1</v>
      </c>
      <c r="H35" s="5">
        <f ca="1">Simulation!I33</f>
        <v>1</v>
      </c>
      <c r="I35" s="5">
        <f ca="1">Simulation!J33</f>
        <v>1</v>
      </c>
      <c r="J35" s="5">
        <f ca="1">Simulation!K33</f>
        <v>1</v>
      </c>
    </row>
    <row r="36" spans="1:10" x14ac:dyDescent="0.25">
      <c r="A36" s="5">
        <v>29</v>
      </c>
      <c r="B36" s="5">
        <f ca="1">Simulation!L34</f>
        <v>0.4311666666666667</v>
      </c>
      <c r="C36" s="5">
        <f>Inputs!$B$7</f>
        <v>0.85</v>
      </c>
      <c r="D36" s="5">
        <f>Inputs!$B$9</f>
        <v>0.78</v>
      </c>
      <c r="F36" s="5">
        <f ca="1">Simulation!G34</f>
        <v>1</v>
      </c>
      <c r="G36" s="5">
        <f ca="1">Simulation!H34</f>
        <v>1</v>
      </c>
      <c r="H36" s="5">
        <f ca="1">Simulation!I34</f>
        <v>1</v>
      </c>
      <c r="I36" s="5">
        <f ca="1">Simulation!J34</f>
        <v>1</v>
      </c>
      <c r="J36" s="5">
        <f ca="1">Simulation!K34</f>
        <v>1</v>
      </c>
    </row>
    <row r="37" spans="1:10" x14ac:dyDescent="0.25">
      <c r="A37" s="5">
        <v>30</v>
      </c>
      <c r="B37" s="5">
        <f ca="1">Simulation!L35</f>
        <v>0.4311666666666667</v>
      </c>
      <c r="C37" s="5">
        <f>Inputs!$B$7</f>
        <v>0.85</v>
      </c>
      <c r="D37" s="5">
        <f>Inputs!$B$9</f>
        <v>0.78</v>
      </c>
      <c r="F37" s="5">
        <f ca="1">Simulation!G35</f>
        <v>1</v>
      </c>
      <c r="G37" s="5">
        <f ca="1">Simulation!H35</f>
        <v>1</v>
      </c>
      <c r="H37" s="5">
        <f ca="1">Simulation!I35</f>
        <v>1</v>
      </c>
      <c r="I37" s="5">
        <f ca="1">Simulation!J35</f>
        <v>1</v>
      </c>
      <c r="J37" s="5">
        <f ca="1">Simulation!K35</f>
        <v>1</v>
      </c>
    </row>
    <row r="38" spans="1:10" x14ac:dyDescent="0.25">
      <c r="A38" s="5">
        <v>31</v>
      </c>
      <c r="B38" s="5">
        <f ca="1">Simulation!L36</f>
        <v>0.4311666666666667</v>
      </c>
      <c r="C38" s="5">
        <f>Inputs!$B$7</f>
        <v>0.85</v>
      </c>
      <c r="D38" s="5">
        <f>Inputs!$B$9</f>
        <v>0.78</v>
      </c>
      <c r="F38" s="5">
        <f ca="1">Simulation!G36</f>
        <v>1</v>
      </c>
      <c r="G38" s="5">
        <f ca="1">Simulation!H36</f>
        <v>1</v>
      </c>
      <c r="H38" s="5">
        <f ca="1">Simulation!I36</f>
        <v>1</v>
      </c>
      <c r="I38" s="5">
        <f ca="1">Simulation!J36</f>
        <v>1</v>
      </c>
      <c r="J38" s="5">
        <f ca="1">Simulation!K36</f>
        <v>1</v>
      </c>
    </row>
    <row r="39" spans="1:10" x14ac:dyDescent="0.25">
      <c r="A39" s="5">
        <v>32</v>
      </c>
      <c r="B39" s="5">
        <f ca="1">Simulation!L37</f>
        <v>0.4311666666666667</v>
      </c>
      <c r="C39" s="5">
        <f>Inputs!$B$7</f>
        <v>0.85</v>
      </c>
      <c r="D39" s="5">
        <f>Inputs!$B$9</f>
        <v>0.78</v>
      </c>
      <c r="F39" s="5">
        <f ca="1">Simulation!G37</f>
        <v>1</v>
      </c>
      <c r="G39" s="5">
        <f ca="1">Simulation!H37</f>
        <v>1</v>
      </c>
      <c r="H39" s="5">
        <f ca="1">Simulation!I37</f>
        <v>1</v>
      </c>
      <c r="I39" s="5">
        <f ca="1">Simulation!J37</f>
        <v>1</v>
      </c>
      <c r="J39" s="5">
        <f ca="1">Simulation!K37</f>
        <v>1</v>
      </c>
    </row>
    <row r="40" spans="1:10" x14ac:dyDescent="0.25">
      <c r="A40" s="5">
        <v>33</v>
      </c>
      <c r="B40" s="5">
        <f ca="1">Simulation!L38</f>
        <v>0.4311666666666667</v>
      </c>
      <c r="C40" s="5">
        <f>Inputs!$B$7</f>
        <v>0.85</v>
      </c>
      <c r="D40" s="5">
        <f>Inputs!$B$9</f>
        <v>0.78</v>
      </c>
      <c r="F40" s="5">
        <f ca="1">Simulation!G38</f>
        <v>1</v>
      </c>
      <c r="G40" s="5">
        <f ca="1">Simulation!H38</f>
        <v>1</v>
      </c>
      <c r="H40" s="5">
        <f ca="1">Simulation!I38</f>
        <v>1</v>
      </c>
      <c r="I40" s="5">
        <f ca="1">Simulation!J38</f>
        <v>1</v>
      </c>
      <c r="J40" s="5">
        <f ca="1">Simulation!K38</f>
        <v>1</v>
      </c>
    </row>
    <row r="41" spans="1:10" x14ac:dyDescent="0.25">
      <c r="A41" s="5">
        <v>34</v>
      </c>
      <c r="B41" s="5">
        <f ca="1">Simulation!L39</f>
        <v>0.4311666666666667</v>
      </c>
      <c r="C41" s="5">
        <f>Inputs!$B$7</f>
        <v>0.85</v>
      </c>
      <c r="D41" s="5">
        <f>Inputs!$B$9</f>
        <v>0.78</v>
      </c>
      <c r="F41" s="5">
        <f ca="1">Simulation!G39</f>
        <v>1</v>
      </c>
      <c r="G41" s="5">
        <f ca="1">Simulation!H39</f>
        <v>1</v>
      </c>
      <c r="H41" s="5">
        <f ca="1">Simulation!I39</f>
        <v>1</v>
      </c>
      <c r="I41" s="5">
        <f ca="1">Simulation!J39</f>
        <v>1</v>
      </c>
      <c r="J41" s="5">
        <f ca="1">Simulation!K39</f>
        <v>1</v>
      </c>
    </row>
    <row r="42" spans="1:10" x14ac:dyDescent="0.25">
      <c r="A42" s="5">
        <v>35</v>
      </c>
      <c r="B42" s="5">
        <f ca="1">Simulation!L40</f>
        <v>0.4311666666666667</v>
      </c>
      <c r="C42" s="5">
        <f>Inputs!$B$7</f>
        <v>0.85</v>
      </c>
      <c r="D42" s="5">
        <f>Inputs!$B$9</f>
        <v>0.78</v>
      </c>
      <c r="F42" s="5">
        <f ca="1">Simulation!G40</f>
        <v>1</v>
      </c>
      <c r="G42" s="5">
        <f ca="1">Simulation!H40</f>
        <v>1</v>
      </c>
      <c r="H42" s="5">
        <f ca="1">Simulation!I40</f>
        <v>1</v>
      </c>
      <c r="I42" s="5">
        <f ca="1">Simulation!J40</f>
        <v>1</v>
      </c>
      <c r="J42" s="5">
        <f ca="1">Simulation!K40</f>
        <v>1</v>
      </c>
    </row>
    <row r="43" spans="1:10" x14ac:dyDescent="0.25">
      <c r="A43" s="5">
        <v>36</v>
      </c>
      <c r="B43" s="5">
        <f ca="1">Simulation!L41</f>
        <v>0.4311666666666667</v>
      </c>
      <c r="C43" s="5">
        <f>Inputs!$B$7</f>
        <v>0.85</v>
      </c>
      <c r="D43" s="5">
        <f>Inputs!$B$9</f>
        <v>0.78</v>
      </c>
      <c r="F43" s="5">
        <f ca="1">Simulation!G41</f>
        <v>1</v>
      </c>
      <c r="G43" s="5">
        <f ca="1">Simulation!H41</f>
        <v>1</v>
      </c>
      <c r="H43" s="5">
        <f ca="1">Simulation!I41</f>
        <v>1</v>
      </c>
      <c r="I43" s="5">
        <f ca="1">Simulation!J41</f>
        <v>1</v>
      </c>
      <c r="J43" s="5">
        <f ca="1">Simulation!K41</f>
        <v>1</v>
      </c>
    </row>
    <row r="44" spans="1:10" x14ac:dyDescent="0.25">
      <c r="A44" s="5">
        <v>37</v>
      </c>
      <c r="B44" s="5">
        <f ca="1">Simulation!L42</f>
        <v>0.4311666666666667</v>
      </c>
      <c r="C44" s="5">
        <f>Inputs!$B$7</f>
        <v>0.85</v>
      </c>
      <c r="D44" s="5">
        <f>Inputs!$B$9</f>
        <v>0.78</v>
      </c>
      <c r="F44" s="5">
        <f ca="1">Simulation!G42</f>
        <v>1</v>
      </c>
      <c r="G44" s="5">
        <f ca="1">Simulation!H42</f>
        <v>1</v>
      </c>
      <c r="H44" s="5">
        <f ca="1">Simulation!I42</f>
        <v>1</v>
      </c>
      <c r="I44" s="5">
        <f ca="1">Simulation!J42</f>
        <v>1</v>
      </c>
      <c r="J44" s="5">
        <f ca="1">Simulation!K42</f>
        <v>1</v>
      </c>
    </row>
    <row r="45" spans="1:10" x14ac:dyDescent="0.25">
      <c r="A45" s="5">
        <v>38</v>
      </c>
      <c r="B45" s="5">
        <f ca="1">Simulation!L43</f>
        <v>0.4311666666666667</v>
      </c>
      <c r="C45" s="5">
        <f>Inputs!$B$7</f>
        <v>0.85</v>
      </c>
      <c r="D45" s="5">
        <f>Inputs!$B$9</f>
        <v>0.78</v>
      </c>
      <c r="F45" s="5">
        <f ca="1">Simulation!G43</f>
        <v>1</v>
      </c>
      <c r="G45" s="5">
        <f ca="1">Simulation!H43</f>
        <v>1</v>
      </c>
      <c r="H45" s="5">
        <f ca="1">Simulation!I43</f>
        <v>1</v>
      </c>
      <c r="I45" s="5">
        <f ca="1">Simulation!J43</f>
        <v>1</v>
      </c>
      <c r="J45" s="5">
        <f ca="1">Simulation!K43</f>
        <v>1</v>
      </c>
    </row>
    <row r="46" spans="1:10" x14ac:dyDescent="0.25">
      <c r="A46" s="5">
        <v>39</v>
      </c>
      <c r="B46" s="5">
        <f ca="1">Simulation!L44</f>
        <v>0.4311666666666667</v>
      </c>
      <c r="C46" s="5">
        <f>Inputs!$B$7</f>
        <v>0.85</v>
      </c>
      <c r="D46" s="5">
        <f>Inputs!$B$9</f>
        <v>0.78</v>
      </c>
      <c r="F46" s="5">
        <f ca="1">Simulation!G44</f>
        <v>1</v>
      </c>
      <c r="G46" s="5">
        <f ca="1">Simulation!H44</f>
        <v>1</v>
      </c>
      <c r="H46" s="5">
        <f ca="1">Simulation!I44</f>
        <v>1</v>
      </c>
      <c r="I46" s="5">
        <f ca="1">Simulation!J44</f>
        <v>1</v>
      </c>
      <c r="J46" s="5">
        <f ca="1">Simulation!K44</f>
        <v>1</v>
      </c>
    </row>
    <row r="47" spans="1:10" x14ac:dyDescent="0.25">
      <c r="A47" s="5">
        <v>40</v>
      </c>
      <c r="B47" s="5">
        <f ca="1">Simulation!L45</f>
        <v>0.4311666666666667</v>
      </c>
      <c r="C47" s="5">
        <f>Inputs!$B$7</f>
        <v>0.85</v>
      </c>
      <c r="D47" s="5">
        <f>Inputs!$B$9</f>
        <v>0.78</v>
      </c>
      <c r="F47" s="5">
        <f ca="1">Simulation!G45</f>
        <v>1</v>
      </c>
      <c r="G47" s="5">
        <f ca="1">Simulation!H45</f>
        <v>1</v>
      </c>
      <c r="H47" s="5">
        <f ca="1">Simulation!I45</f>
        <v>1</v>
      </c>
      <c r="I47" s="5">
        <f ca="1">Simulation!J45</f>
        <v>1</v>
      </c>
      <c r="J47" s="5">
        <f ca="1">Simulation!K45</f>
        <v>1</v>
      </c>
    </row>
    <row r="48" spans="1:10" x14ac:dyDescent="0.25">
      <c r="A48" s="5">
        <v>41</v>
      </c>
      <c r="B48" s="5">
        <f ca="1">Simulation!L46</f>
        <v>0.4311666666666667</v>
      </c>
      <c r="C48" s="5">
        <f>Inputs!$B$7</f>
        <v>0.85</v>
      </c>
      <c r="D48" s="5">
        <f>Inputs!$B$9</f>
        <v>0.78</v>
      </c>
      <c r="F48" s="5">
        <f ca="1">Simulation!G46</f>
        <v>1</v>
      </c>
      <c r="G48" s="5">
        <f ca="1">Simulation!H46</f>
        <v>1</v>
      </c>
      <c r="H48" s="5">
        <f ca="1">Simulation!I46</f>
        <v>1</v>
      </c>
      <c r="I48" s="5">
        <f ca="1">Simulation!J46</f>
        <v>1</v>
      </c>
      <c r="J48" s="5">
        <f ca="1">Simulation!K46</f>
        <v>1</v>
      </c>
    </row>
    <row r="49" spans="1:10" x14ac:dyDescent="0.25">
      <c r="A49" s="5">
        <v>42</v>
      </c>
      <c r="B49" s="5">
        <f ca="1">Simulation!L47</f>
        <v>0.4311666666666667</v>
      </c>
      <c r="C49" s="5">
        <f>Inputs!$B$7</f>
        <v>0.85</v>
      </c>
      <c r="D49" s="5">
        <f>Inputs!$B$9</f>
        <v>0.78</v>
      </c>
      <c r="F49" s="5">
        <f ca="1">Simulation!G47</f>
        <v>1</v>
      </c>
      <c r="G49" s="5">
        <f ca="1">Simulation!H47</f>
        <v>1</v>
      </c>
      <c r="H49" s="5">
        <f ca="1">Simulation!I47</f>
        <v>1</v>
      </c>
      <c r="I49" s="5">
        <f ca="1">Simulation!J47</f>
        <v>1</v>
      </c>
      <c r="J49" s="5">
        <f ca="1">Simulation!K47</f>
        <v>1</v>
      </c>
    </row>
    <row r="50" spans="1:10" x14ac:dyDescent="0.25">
      <c r="A50" s="5">
        <v>43</v>
      </c>
      <c r="B50" s="5">
        <f ca="1">Simulation!L48</f>
        <v>0.4311666666666667</v>
      </c>
      <c r="C50" s="5">
        <f>Inputs!$B$7</f>
        <v>0.85</v>
      </c>
      <c r="D50" s="5">
        <f>Inputs!$B$9</f>
        <v>0.78</v>
      </c>
      <c r="F50" s="5">
        <f ca="1">Simulation!G48</f>
        <v>1</v>
      </c>
      <c r="G50" s="5">
        <f ca="1">Simulation!H48</f>
        <v>1</v>
      </c>
      <c r="H50" s="5">
        <f ca="1">Simulation!I48</f>
        <v>1</v>
      </c>
      <c r="I50" s="5">
        <f ca="1">Simulation!J48</f>
        <v>1</v>
      </c>
      <c r="J50" s="5">
        <f ca="1">Simulation!K48</f>
        <v>1</v>
      </c>
    </row>
    <row r="51" spans="1:10" x14ac:dyDescent="0.25">
      <c r="A51" s="5">
        <v>44</v>
      </c>
      <c r="B51" s="5">
        <f ca="1">Simulation!L49</f>
        <v>0.4311666666666667</v>
      </c>
      <c r="C51" s="5">
        <f>Inputs!$B$7</f>
        <v>0.85</v>
      </c>
      <c r="D51" s="5">
        <f>Inputs!$B$9</f>
        <v>0.78</v>
      </c>
      <c r="F51" s="5">
        <f ca="1">Simulation!G49</f>
        <v>1</v>
      </c>
      <c r="G51" s="5">
        <f ca="1">Simulation!H49</f>
        <v>1</v>
      </c>
      <c r="H51" s="5">
        <f ca="1">Simulation!I49</f>
        <v>1</v>
      </c>
      <c r="I51" s="5">
        <f ca="1">Simulation!J49</f>
        <v>1</v>
      </c>
      <c r="J51" s="5">
        <f ca="1">Simulation!K49</f>
        <v>1</v>
      </c>
    </row>
    <row r="52" spans="1:10" x14ac:dyDescent="0.25">
      <c r="A52" s="5">
        <v>45</v>
      </c>
      <c r="B52" s="5">
        <f ca="1">Simulation!L50</f>
        <v>0.4311666666666667</v>
      </c>
      <c r="C52" s="5">
        <f>Inputs!$B$7</f>
        <v>0.85</v>
      </c>
      <c r="D52" s="5">
        <f>Inputs!$B$9</f>
        <v>0.78</v>
      </c>
      <c r="F52" s="5">
        <f ca="1">Simulation!G50</f>
        <v>1</v>
      </c>
      <c r="G52" s="5">
        <f ca="1">Simulation!H50</f>
        <v>1</v>
      </c>
      <c r="H52" s="5">
        <f ca="1">Simulation!I50</f>
        <v>1</v>
      </c>
      <c r="I52" s="5">
        <f ca="1">Simulation!J50</f>
        <v>1</v>
      </c>
      <c r="J52" s="5">
        <f ca="1">Simulation!K50</f>
        <v>1</v>
      </c>
    </row>
    <row r="53" spans="1:10" x14ac:dyDescent="0.25">
      <c r="A53" s="5">
        <v>46</v>
      </c>
      <c r="B53" s="5">
        <f ca="1">Simulation!L51</f>
        <v>0.4311666666666667</v>
      </c>
      <c r="C53" s="5">
        <f>Inputs!$B$7</f>
        <v>0.85</v>
      </c>
      <c r="D53" s="5">
        <f>Inputs!$B$9</f>
        <v>0.78</v>
      </c>
      <c r="F53" s="5">
        <f ca="1">Simulation!G51</f>
        <v>1</v>
      </c>
      <c r="G53" s="5">
        <f ca="1">Simulation!H51</f>
        <v>1</v>
      </c>
      <c r="H53" s="5">
        <f ca="1">Simulation!I51</f>
        <v>1</v>
      </c>
      <c r="I53" s="5">
        <f ca="1">Simulation!J51</f>
        <v>1</v>
      </c>
      <c r="J53" s="5">
        <f ca="1">Simulation!K51</f>
        <v>1</v>
      </c>
    </row>
    <row r="54" spans="1:10" x14ac:dyDescent="0.25">
      <c r="A54" s="5">
        <v>47</v>
      </c>
      <c r="B54" s="5">
        <f ca="1">Simulation!L52</f>
        <v>0.4311666666666667</v>
      </c>
      <c r="C54" s="5">
        <f>Inputs!$B$7</f>
        <v>0.85</v>
      </c>
      <c r="D54" s="5">
        <f>Inputs!$B$9</f>
        <v>0.78</v>
      </c>
      <c r="F54" s="5">
        <f ca="1">Simulation!G52</f>
        <v>1</v>
      </c>
      <c r="G54" s="5">
        <f ca="1">Simulation!H52</f>
        <v>1</v>
      </c>
      <c r="H54" s="5">
        <f ca="1">Simulation!I52</f>
        <v>1</v>
      </c>
      <c r="I54" s="5">
        <f ca="1">Simulation!J52</f>
        <v>1</v>
      </c>
      <c r="J54" s="5">
        <f ca="1">Simulation!K52</f>
        <v>1</v>
      </c>
    </row>
    <row r="55" spans="1:10" x14ac:dyDescent="0.25">
      <c r="A55" s="5">
        <v>48</v>
      </c>
      <c r="B55" s="5">
        <f ca="1">Simulation!L53</f>
        <v>0.4311666666666667</v>
      </c>
      <c r="C55" s="5">
        <f>Inputs!$B$7</f>
        <v>0.85</v>
      </c>
      <c r="D55" s="5">
        <f>Inputs!$B$9</f>
        <v>0.78</v>
      </c>
      <c r="F55" s="5">
        <f ca="1">Simulation!G53</f>
        <v>1</v>
      </c>
      <c r="G55" s="5">
        <f ca="1">Simulation!H53</f>
        <v>1</v>
      </c>
      <c r="H55" s="5">
        <f ca="1">Simulation!I53</f>
        <v>1</v>
      </c>
      <c r="I55" s="5">
        <f ca="1">Simulation!J53</f>
        <v>1</v>
      </c>
      <c r="J55" s="5">
        <f ca="1">Simulation!K53</f>
        <v>1</v>
      </c>
    </row>
    <row r="56" spans="1:10" x14ac:dyDescent="0.25">
      <c r="A56" s="5">
        <v>49</v>
      </c>
      <c r="B56" s="5">
        <f ca="1">Simulation!L54</f>
        <v>0.4311666666666667</v>
      </c>
      <c r="C56" s="5">
        <f>Inputs!$B$7</f>
        <v>0.85</v>
      </c>
      <c r="D56" s="5">
        <f>Inputs!$B$9</f>
        <v>0.78</v>
      </c>
      <c r="F56" s="5">
        <f ca="1">Simulation!G54</f>
        <v>1</v>
      </c>
      <c r="G56" s="5">
        <f ca="1">Simulation!H54</f>
        <v>1</v>
      </c>
      <c r="H56" s="5">
        <f ca="1">Simulation!I54</f>
        <v>1</v>
      </c>
      <c r="I56" s="5">
        <f ca="1">Simulation!J54</f>
        <v>1</v>
      </c>
      <c r="J56" s="5">
        <f ca="1">Simulation!K54</f>
        <v>1</v>
      </c>
    </row>
    <row r="57" spans="1:10" x14ac:dyDescent="0.25">
      <c r="A57" s="5">
        <v>50</v>
      </c>
      <c r="B57" s="5">
        <f ca="1">Simulation!L55</f>
        <v>0.4311666666666667</v>
      </c>
      <c r="C57" s="5">
        <f>Inputs!$B$7</f>
        <v>0.85</v>
      </c>
      <c r="D57" s="5">
        <f>Inputs!$B$9</f>
        <v>0.78</v>
      </c>
      <c r="F57" s="5">
        <f ca="1">Simulation!G55</f>
        <v>1</v>
      </c>
      <c r="G57" s="5">
        <f ca="1">Simulation!H55</f>
        <v>1</v>
      </c>
      <c r="H57" s="5">
        <f ca="1">Simulation!I55</f>
        <v>1</v>
      </c>
      <c r="I57" s="5">
        <f ca="1">Simulation!J55</f>
        <v>1</v>
      </c>
      <c r="J57" s="5">
        <f ca="1">Simulation!K55</f>
        <v>1</v>
      </c>
    </row>
    <row r="58" spans="1:10" x14ac:dyDescent="0.25">
      <c r="A58" s="5">
        <v>51</v>
      </c>
      <c r="B58" s="5">
        <f ca="1">Simulation!L56</f>
        <v>0.4311666666666667</v>
      </c>
      <c r="C58" s="5">
        <f>Inputs!$B$7</f>
        <v>0.85</v>
      </c>
      <c r="D58" s="5">
        <f>Inputs!$B$9</f>
        <v>0.78</v>
      </c>
      <c r="F58" s="5">
        <f ca="1">Simulation!G56</f>
        <v>1</v>
      </c>
      <c r="G58" s="5">
        <f ca="1">Simulation!H56</f>
        <v>1</v>
      </c>
      <c r="H58" s="5">
        <f ca="1">Simulation!I56</f>
        <v>1</v>
      </c>
      <c r="I58" s="5">
        <f ca="1">Simulation!J56</f>
        <v>1</v>
      </c>
      <c r="J58" s="5">
        <f ca="1">Simulation!K56</f>
        <v>1</v>
      </c>
    </row>
    <row r="59" spans="1:10" x14ac:dyDescent="0.25">
      <c r="A59" s="5">
        <v>52</v>
      </c>
      <c r="B59" s="5">
        <f ca="1">Simulation!L57</f>
        <v>0.4311666666666667</v>
      </c>
      <c r="C59" s="5">
        <f>Inputs!$B$7</f>
        <v>0.85</v>
      </c>
      <c r="D59" s="5">
        <f>Inputs!$B$9</f>
        <v>0.78</v>
      </c>
      <c r="F59" s="5">
        <f ca="1">Simulation!G57</f>
        <v>1</v>
      </c>
      <c r="G59" s="5">
        <f ca="1">Simulation!H57</f>
        <v>1</v>
      </c>
      <c r="H59" s="5">
        <f ca="1">Simulation!I57</f>
        <v>1</v>
      </c>
      <c r="I59" s="5">
        <f ca="1">Simulation!J57</f>
        <v>1</v>
      </c>
      <c r="J59" s="5">
        <f ca="1">Simulation!K57</f>
        <v>1</v>
      </c>
    </row>
    <row r="60" spans="1:10" x14ac:dyDescent="0.25">
      <c r="A60" s="5">
        <v>53</v>
      </c>
      <c r="B60" s="5">
        <f ca="1">Simulation!L58</f>
        <v>0.4311666666666667</v>
      </c>
      <c r="C60" s="5">
        <f>Inputs!$B$7</f>
        <v>0.85</v>
      </c>
      <c r="D60" s="5">
        <f>Inputs!$B$9</f>
        <v>0.78</v>
      </c>
      <c r="F60" s="5">
        <f ca="1">Simulation!G58</f>
        <v>1</v>
      </c>
      <c r="G60" s="5">
        <f ca="1">Simulation!H58</f>
        <v>1</v>
      </c>
      <c r="H60" s="5">
        <f ca="1">Simulation!I58</f>
        <v>1</v>
      </c>
      <c r="I60" s="5">
        <f ca="1">Simulation!J58</f>
        <v>1</v>
      </c>
      <c r="J60" s="5">
        <f ca="1">Simulation!K58</f>
        <v>1</v>
      </c>
    </row>
    <row r="61" spans="1:10" x14ac:dyDescent="0.25">
      <c r="A61" s="5">
        <v>54</v>
      </c>
      <c r="B61" s="5">
        <f ca="1">Simulation!L59</f>
        <v>0.4311666666666667</v>
      </c>
      <c r="C61" s="5">
        <f>Inputs!$B$7</f>
        <v>0.85</v>
      </c>
      <c r="D61" s="5">
        <f>Inputs!$B$9</f>
        <v>0.78</v>
      </c>
      <c r="F61" s="5">
        <f ca="1">Simulation!G59</f>
        <v>1</v>
      </c>
      <c r="G61" s="5">
        <f ca="1">Simulation!H59</f>
        <v>1</v>
      </c>
      <c r="H61" s="5">
        <f ca="1">Simulation!I59</f>
        <v>1</v>
      </c>
      <c r="I61" s="5">
        <f ca="1">Simulation!J59</f>
        <v>1</v>
      </c>
      <c r="J61" s="5">
        <f ca="1">Simulation!K59</f>
        <v>1</v>
      </c>
    </row>
    <row r="62" spans="1:10" x14ac:dyDescent="0.25">
      <c r="A62" s="5">
        <v>55</v>
      </c>
      <c r="B62" s="5">
        <f ca="1">Simulation!L60</f>
        <v>0.4311666666666667</v>
      </c>
      <c r="C62" s="5">
        <f>Inputs!$B$7</f>
        <v>0.85</v>
      </c>
      <c r="D62" s="5">
        <f>Inputs!$B$9</f>
        <v>0.78</v>
      </c>
      <c r="F62" s="5">
        <f ca="1">Simulation!G60</f>
        <v>1</v>
      </c>
      <c r="G62" s="5">
        <f ca="1">Simulation!H60</f>
        <v>1</v>
      </c>
      <c r="H62" s="5">
        <f ca="1">Simulation!I60</f>
        <v>1</v>
      </c>
      <c r="I62" s="5">
        <f ca="1">Simulation!J60</f>
        <v>1</v>
      </c>
      <c r="J62" s="5">
        <f ca="1">Simulation!K60</f>
        <v>1</v>
      </c>
    </row>
    <row r="63" spans="1:10" x14ac:dyDescent="0.25">
      <c r="A63" s="5">
        <v>56</v>
      </c>
      <c r="B63" s="5">
        <f ca="1">Simulation!L61</f>
        <v>0.4311666666666667</v>
      </c>
      <c r="C63" s="5">
        <f>Inputs!$B$7</f>
        <v>0.85</v>
      </c>
      <c r="D63" s="5">
        <f>Inputs!$B$9</f>
        <v>0.78</v>
      </c>
      <c r="F63" s="5">
        <f ca="1">Simulation!G61</f>
        <v>1</v>
      </c>
      <c r="G63" s="5">
        <f ca="1">Simulation!H61</f>
        <v>1</v>
      </c>
      <c r="H63" s="5">
        <f ca="1">Simulation!I61</f>
        <v>1</v>
      </c>
      <c r="I63" s="5">
        <f ca="1">Simulation!J61</f>
        <v>1</v>
      </c>
      <c r="J63" s="5">
        <f ca="1">Simulation!K61</f>
        <v>1</v>
      </c>
    </row>
    <row r="64" spans="1:10" x14ac:dyDescent="0.25">
      <c r="A64" s="5">
        <v>57</v>
      </c>
      <c r="B64" s="5">
        <f ca="1">Simulation!L62</f>
        <v>0.4311666666666667</v>
      </c>
      <c r="C64" s="5">
        <f>Inputs!$B$7</f>
        <v>0.85</v>
      </c>
      <c r="D64" s="5">
        <f>Inputs!$B$9</f>
        <v>0.78</v>
      </c>
      <c r="F64" s="5">
        <f ca="1">Simulation!G62</f>
        <v>1</v>
      </c>
      <c r="G64" s="5">
        <f ca="1">Simulation!H62</f>
        <v>1</v>
      </c>
      <c r="H64" s="5">
        <f ca="1">Simulation!I62</f>
        <v>1</v>
      </c>
      <c r="I64" s="5">
        <f ca="1">Simulation!J62</f>
        <v>1</v>
      </c>
      <c r="J64" s="5">
        <f ca="1">Simulation!K62</f>
        <v>1</v>
      </c>
    </row>
    <row r="65" spans="1:10" x14ac:dyDescent="0.25">
      <c r="A65" s="5">
        <v>58</v>
      </c>
      <c r="B65" s="5">
        <f ca="1">Simulation!L63</f>
        <v>0.4311666666666667</v>
      </c>
      <c r="C65" s="5">
        <f>Inputs!$B$7</f>
        <v>0.85</v>
      </c>
      <c r="D65" s="5">
        <f>Inputs!$B$9</f>
        <v>0.78</v>
      </c>
      <c r="F65" s="5">
        <f ca="1">Simulation!G63</f>
        <v>1</v>
      </c>
      <c r="G65" s="5">
        <f ca="1">Simulation!H63</f>
        <v>1</v>
      </c>
      <c r="H65" s="5">
        <f ca="1">Simulation!I63</f>
        <v>1</v>
      </c>
      <c r="I65" s="5">
        <f ca="1">Simulation!J63</f>
        <v>1</v>
      </c>
      <c r="J65" s="5">
        <f ca="1">Simulation!K63</f>
        <v>1</v>
      </c>
    </row>
    <row r="66" spans="1:10" x14ac:dyDescent="0.25">
      <c r="A66" s="5">
        <v>59</v>
      </c>
      <c r="B66" s="5">
        <f ca="1">Simulation!L64</f>
        <v>0.4311666666666667</v>
      </c>
      <c r="C66" s="5">
        <f>Inputs!$B$7</f>
        <v>0.85</v>
      </c>
      <c r="D66" s="5">
        <f>Inputs!$B$9</f>
        <v>0.78</v>
      </c>
      <c r="F66" s="5">
        <f ca="1">Simulation!G64</f>
        <v>1</v>
      </c>
      <c r="G66" s="5">
        <f ca="1">Simulation!H64</f>
        <v>1</v>
      </c>
      <c r="H66" s="5">
        <f ca="1">Simulation!I64</f>
        <v>1</v>
      </c>
      <c r="I66" s="5">
        <f ca="1">Simulation!J64</f>
        <v>1</v>
      </c>
      <c r="J66" s="5">
        <f ca="1">Simulation!K64</f>
        <v>1</v>
      </c>
    </row>
  </sheetData>
  <pageMargins left="0.75" right="0.75" top="1" bottom="1" header="0.5" footer="0.5"/>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Inputs</vt:lpstr>
      <vt:lpstr>Events</vt:lpstr>
      <vt:lpstr>Simulation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Evan Fraser</cp:lastModifiedBy>
  <dcterms:created xsi:type="dcterms:W3CDTF">2026-02-12T12:24:21Z</dcterms:created>
  <dcterms:modified xsi:type="dcterms:W3CDTF">2026-02-13T01:13:37Z</dcterms:modified>
</cp:coreProperties>
</file>